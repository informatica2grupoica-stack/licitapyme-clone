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roku\Downloads\"/>
    </mc:Choice>
  </mc:AlternateContent>
  <xr:revisionPtr revIDLastSave="0" documentId="8_{2F875443-1EDB-4A89-ACF2-F65A37A493E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steo" sheetId="1" r:id="rId1"/>
    <sheet name="AUDITORI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ksxI2xJFMciXb3JTmWLEe4jso8yQcgdqsEiFoiJaXjo="/>
    </ext>
  </extLst>
</workbook>
</file>

<file path=xl/calcChain.xml><?xml version="1.0" encoding="utf-8"?>
<calcChain xmlns="http://schemas.openxmlformats.org/spreadsheetml/2006/main">
  <c r="S22" i="2" l="1"/>
  <c r="R22" i="2"/>
  <c r="D22" i="2"/>
  <c r="C22" i="2"/>
  <c r="B22" i="2"/>
  <c r="A22" i="2"/>
  <c r="S21" i="2"/>
  <c r="R21" i="2"/>
  <c r="D21" i="2"/>
  <c r="C21" i="2"/>
  <c r="B21" i="2"/>
  <c r="A21" i="2"/>
  <c r="S20" i="2"/>
  <c r="R20" i="2"/>
  <c r="D20" i="2"/>
  <c r="C20" i="2"/>
  <c r="B20" i="2"/>
  <c r="A20" i="2"/>
  <c r="S19" i="2"/>
  <c r="R19" i="2"/>
  <c r="D19" i="2"/>
  <c r="C19" i="2"/>
  <c r="B19" i="2"/>
  <c r="A19" i="2"/>
  <c r="S18" i="2"/>
  <c r="R18" i="2"/>
  <c r="D18" i="2"/>
  <c r="C18" i="2"/>
  <c r="B18" i="2"/>
  <c r="A18" i="2"/>
  <c r="S17" i="2"/>
  <c r="R17" i="2"/>
  <c r="D17" i="2"/>
  <c r="C17" i="2"/>
  <c r="B17" i="2"/>
  <c r="A17" i="2"/>
  <c r="S16" i="2"/>
  <c r="R16" i="2"/>
  <c r="D16" i="2"/>
  <c r="C16" i="2"/>
  <c r="B16" i="2"/>
  <c r="A16" i="2"/>
  <c r="S15" i="2"/>
  <c r="R15" i="2"/>
  <c r="D15" i="2"/>
  <c r="C15" i="2"/>
  <c r="B15" i="2"/>
  <c r="A15" i="2"/>
  <c r="S14" i="2"/>
  <c r="R14" i="2"/>
  <c r="D14" i="2"/>
  <c r="C14" i="2"/>
  <c r="B14" i="2"/>
  <c r="A14" i="2"/>
  <c r="S13" i="2"/>
  <c r="R13" i="2"/>
  <c r="D13" i="2"/>
  <c r="C13" i="2"/>
  <c r="B13" i="2"/>
  <c r="A13" i="2"/>
  <c r="S12" i="2"/>
  <c r="R12" i="2"/>
  <c r="D12" i="2"/>
  <c r="C12" i="2"/>
  <c r="B12" i="2"/>
  <c r="A12" i="2"/>
  <c r="S11" i="2"/>
  <c r="R11" i="2"/>
  <c r="D11" i="2"/>
  <c r="C11" i="2"/>
  <c r="B11" i="2"/>
  <c r="A11" i="2"/>
  <c r="S10" i="2"/>
  <c r="R10" i="2"/>
  <c r="D10" i="2"/>
  <c r="C10" i="2"/>
  <c r="B10" i="2"/>
  <c r="A10" i="2"/>
  <c r="S9" i="2"/>
  <c r="R9" i="2"/>
  <c r="D9" i="2"/>
  <c r="C9" i="2"/>
  <c r="B9" i="2"/>
  <c r="A9" i="2"/>
  <c r="S8" i="2"/>
  <c r="R8" i="2"/>
  <c r="D8" i="2"/>
  <c r="C8" i="2"/>
  <c r="B8" i="2"/>
  <c r="A8" i="2"/>
  <c r="S7" i="2"/>
  <c r="R7" i="2"/>
  <c r="D7" i="2"/>
  <c r="C7" i="2"/>
  <c r="B7" i="2"/>
  <c r="A7" i="2"/>
  <c r="S6" i="2"/>
  <c r="R6" i="2"/>
  <c r="D6" i="2"/>
  <c r="C6" i="2"/>
  <c r="B6" i="2"/>
  <c r="A6" i="2"/>
  <c r="S5" i="2"/>
  <c r="R5" i="2"/>
  <c r="D5" i="2"/>
  <c r="C5" i="2"/>
  <c r="B5" i="2"/>
  <c r="A5" i="2"/>
  <c r="S4" i="2"/>
  <c r="R4" i="2"/>
  <c r="D4" i="2"/>
  <c r="C4" i="2"/>
  <c r="B4" i="2"/>
  <c r="A4" i="2"/>
  <c r="S3" i="2"/>
  <c r="R3" i="2"/>
  <c r="D3" i="2"/>
  <c r="C3" i="2"/>
  <c r="B3" i="2"/>
  <c r="A3" i="2"/>
  <c r="K26" i="1"/>
  <c r="E24" i="1"/>
  <c r="M23" i="1"/>
  <c r="E22" i="2" s="1"/>
  <c r="G23" i="1"/>
  <c r="I23" i="1" s="1"/>
  <c r="J23" i="1" s="1"/>
  <c r="K23" i="1" s="1"/>
  <c r="M22" i="1"/>
  <c r="E21" i="2" s="1"/>
  <c r="G22" i="1"/>
  <c r="N22" i="1" s="1"/>
  <c r="N21" i="1"/>
  <c r="M21" i="1"/>
  <c r="E20" i="2" s="1"/>
  <c r="G21" i="1"/>
  <c r="I21" i="1" s="1"/>
  <c r="J21" i="1" s="1"/>
  <c r="K21" i="1" s="1"/>
  <c r="N20" i="1"/>
  <c r="M20" i="1"/>
  <c r="E19" i="2" s="1"/>
  <c r="G20" i="1"/>
  <c r="I20" i="1" s="1"/>
  <c r="J20" i="1" s="1"/>
  <c r="K20" i="1" s="1"/>
  <c r="N19" i="1"/>
  <c r="M19" i="1"/>
  <c r="E18" i="2" s="1"/>
  <c r="G19" i="1"/>
  <c r="I19" i="1" s="1"/>
  <c r="J19" i="1" s="1"/>
  <c r="K19" i="1" s="1"/>
  <c r="N18" i="1"/>
  <c r="M18" i="1"/>
  <c r="E17" i="2" s="1"/>
  <c r="J18" i="1"/>
  <c r="K18" i="1" s="1"/>
  <c r="I18" i="1"/>
  <c r="G18" i="1"/>
  <c r="H18" i="1" s="1"/>
  <c r="N17" i="1"/>
  <c r="M17" i="1"/>
  <c r="E16" i="2" s="1"/>
  <c r="I17" i="1"/>
  <c r="J17" i="1" s="1"/>
  <c r="K17" i="1" s="1"/>
  <c r="H17" i="1"/>
  <c r="G17" i="1"/>
  <c r="M16" i="1"/>
  <c r="E15" i="2" s="1"/>
  <c r="I16" i="1"/>
  <c r="J16" i="1" s="1"/>
  <c r="K16" i="1" s="1"/>
  <c r="H16" i="1"/>
  <c r="G16" i="1"/>
  <c r="N16" i="1" s="1"/>
  <c r="M15" i="1"/>
  <c r="E14" i="2" s="1"/>
  <c r="G15" i="1"/>
  <c r="N15" i="1" s="1"/>
  <c r="M14" i="1"/>
  <c r="E13" i="2" s="1"/>
  <c r="G14" i="1"/>
  <c r="N14" i="1" s="1"/>
  <c r="N13" i="1"/>
  <c r="M13" i="1"/>
  <c r="E12" i="2" s="1"/>
  <c r="G13" i="1"/>
  <c r="I13" i="1" s="1"/>
  <c r="J13" i="1" s="1"/>
  <c r="K13" i="1" s="1"/>
  <c r="N12" i="1"/>
  <c r="M12" i="1"/>
  <c r="E11" i="2" s="1"/>
  <c r="G12" i="1"/>
  <c r="H12" i="1" s="1"/>
  <c r="N11" i="1"/>
  <c r="M11" i="1"/>
  <c r="E10" i="2" s="1"/>
  <c r="G11" i="1"/>
  <c r="I11" i="1" s="1"/>
  <c r="J11" i="1" s="1"/>
  <c r="K11" i="1" s="1"/>
  <c r="N10" i="1"/>
  <c r="M10" i="1"/>
  <c r="E9" i="2" s="1"/>
  <c r="J10" i="1"/>
  <c r="K10" i="1" s="1"/>
  <c r="I10" i="1"/>
  <c r="G10" i="1"/>
  <c r="H10" i="1" s="1"/>
  <c r="N9" i="1"/>
  <c r="M9" i="1"/>
  <c r="E8" i="2" s="1"/>
  <c r="I9" i="1"/>
  <c r="J9" i="1" s="1"/>
  <c r="K9" i="1" s="1"/>
  <c r="H9" i="1"/>
  <c r="G9" i="1"/>
  <c r="M8" i="1"/>
  <c r="E7" i="2" s="1"/>
  <c r="I8" i="1"/>
  <c r="J8" i="1" s="1"/>
  <c r="K8" i="1" s="1"/>
  <c r="H8" i="1"/>
  <c r="G8" i="1"/>
  <c r="N8" i="1" s="1"/>
  <c r="M7" i="1"/>
  <c r="E6" i="2" s="1"/>
  <c r="G7" i="1"/>
  <c r="N7" i="1" s="1"/>
  <c r="M6" i="1"/>
  <c r="E5" i="2" s="1"/>
  <c r="G6" i="1"/>
  <c r="N6" i="1" s="1"/>
  <c r="M5" i="1"/>
  <c r="E4" i="2" s="1"/>
  <c r="G5" i="1"/>
  <c r="H5" i="1" s="1"/>
  <c r="M4" i="1"/>
  <c r="M24" i="1" s="1"/>
  <c r="G4" i="1"/>
  <c r="I4" i="1" s="1"/>
  <c r="J4" i="1" s="1"/>
  <c r="K4" i="1" s="1"/>
  <c r="N5" i="1" l="1"/>
  <c r="N4" i="1"/>
  <c r="N24" i="1" s="1"/>
  <c r="N29" i="1"/>
  <c r="N32" i="1"/>
  <c r="E3" i="2"/>
  <c r="H13" i="1"/>
  <c r="I14" i="1"/>
  <c r="J14" i="1" s="1"/>
  <c r="K14" i="1" s="1"/>
  <c r="H21" i="1"/>
  <c r="I22" i="1"/>
  <c r="J22" i="1" s="1"/>
  <c r="K22" i="1" s="1"/>
  <c r="H4" i="1"/>
  <c r="I5" i="1"/>
  <c r="J5" i="1" s="1"/>
  <c r="K5" i="1" s="1"/>
  <c r="K24" i="1" s="1"/>
  <c r="H15" i="1"/>
  <c r="H6" i="1"/>
  <c r="I7" i="1"/>
  <c r="J7" i="1" s="1"/>
  <c r="K7" i="1" s="1"/>
  <c r="H14" i="1"/>
  <c r="I15" i="1"/>
  <c r="J15" i="1" s="1"/>
  <c r="K15" i="1" s="1"/>
  <c r="H20" i="1"/>
  <c r="H11" i="1"/>
  <c r="I12" i="1"/>
  <c r="J12" i="1" s="1"/>
  <c r="K12" i="1" s="1"/>
  <c r="H19" i="1"/>
  <c r="H7" i="1"/>
  <c r="H23" i="1"/>
  <c r="N23" i="1"/>
  <c r="H22" i="1"/>
  <c r="I6" i="1"/>
  <c r="J6" i="1" s="1"/>
  <c r="K6" i="1" s="1"/>
  <c r="N28" i="1" l="1"/>
  <c r="F26" i="1"/>
  <c r="K28" i="1"/>
  <c r="K32" i="1" s="1"/>
  <c r="F24" i="1"/>
  <c r="H24" i="1"/>
  <c r="N30" i="1" l="1"/>
  <c r="N31" i="1"/>
  <c r="F25" i="1"/>
  <c r="K29" i="1"/>
  <c r="K31" i="1" s="1"/>
  <c r="K30" i="1"/>
  <c r="H29" i="1"/>
  <c r="H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1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ID#AAAB-m4qol4
COMERCIAL-PC    (2026-06-26 19:34:24)
Sección del área de compras, debe entregarse en blanco desde el área de cotizadores.</t>
        </r>
      </text>
    </comment>
    <comment ref="F2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ID#AAAB-m4qomA
COMERCIAL-PC    (2026-06-26 19:34:24)
Sección correspondiente a precios conseguidos.</t>
        </r>
      </text>
    </comment>
    <comment ref="A3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ID#AAAB-m4qonk
COMERCIAL-PC    (2026-06-26 19:34:24)
Corresponde al número de ítem que requiere el cliente.</t>
        </r>
      </text>
    </comment>
    <comment ref="B3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ID#AAAB-m4qolw
COMERCIAL-PC    (2026-06-26 19:34:24)
Descripción del producto según requerimiento del cliente (copia textual)</t>
        </r>
      </text>
    </comment>
    <comment ref="D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ID#AAAB-m4qol8
COMERCIAL-PC    (2026-06-26 19:34:24)
Aquí debe incluirse el SKU que publica en la página el proveedor seleccionado para facilitar la compra posterior.</t>
        </r>
      </text>
    </comment>
    <comment ref="E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ID#AAAB-m4qonI
COMERCIAL-PC    (2026-06-26 19:34:24)
Cantidad requerida por el cliente. Debe verificarse y anotar si es necesario la unidad de medida. Jamás debe moodificarse la cantidad requerida por el cliente, nosotros debemos adecuar nuestro costeo a la unidad de medida que se requiera.</t>
        </r>
      </text>
    </comment>
    <comment ref="F3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ID#AAAB-m4qonE
COMERCIAL-PC    (2026-06-26 19:34:24)
Aquí se ingresa el precio con iva incluido encontrado en internet como referencia (o cotización). ESTA ES LA ÚNICA CASILLA QUE DEBIESE MODIFICAR EL COTIZADOR.</t>
        </r>
      </text>
    </comment>
    <comment ref="G3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ID#AAAB-m4qonQ
COMERCIAL-PC    (2026-06-26 19:34:24)
Costo unitario neto que se desprende del valor untario con iva (NO MODIFICAR FORMULA)</t>
        </r>
      </text>
    </comment>
    <comment ref="H3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ID#AAAB-m4qomw
COMERCIAL-PC    (2026-06-26 19:34:24)
La multiplicación del costo unitario y la cantidad requierda. Debe ser coherente con la unidad de medida requerida. (NO MODIFICAR FORMULA)</t>
        </r>
      </text>
    </comment>
    <comment ref="I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ID#AAAB-m4qonU
COMERCIAL-PC    (2026-06-26 19:34:24)
El precio unitario pueded modificarse a voluntad y no necesariamente debe ser homogéneo para cada ítem. (NO MODIFICAR FORMULA)</t>
        </r>
      </text>
    </comment>
    <comment ref="J3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ID#AAAB-m4qonM
COMERCIAL-PC    (2026-06-26 19:34:24)
Este es el precio unitario a utilizar en las ofertas de mercadopúblico, pues no contiene decimales.</t>
        </r>
      </text>
    </comment>
    <comment ref="K3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ID#AAAB-m4qomE
COMERCIAL-PC    (2026-06-26 19:34:24)
Precio final neto, sin decimales, para rellenar los documentos de oferta. (NO MODIFICAR FORMULA)</t>
        </r>
      </text>
    </comment>
    <comment ref="L3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ID#AAAB-m4qomg
COMERCIAL-PC    (2026-06-26 19:34:24)
Costo NETO unitario real conseguido en el proceso de compra.</t>
        </r>
      </text>
    </comment>
    <comment ref="M3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ID#AAAB-m4qomQ
COMERCIAL-PC    (2026-06-26 19:34:24)
Multiplicación del costo unitario por la cantidad real. (NO MODIFICAR FORMULA)</t>
        </r>
      </text>
    </comment>
    <comment ref="N3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ID#AAAB-m4qom0
COMERCIAL-PC    (2026-06-26 19:34:24)
Muestra la variación positiva o negativa de los precios reales con respecto al costeo original. (NO MODIFICAR FORMULA)</t>
        </r>
      </text>
    </comment>
    <comment ref="O3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ID#AAAB-m4qomI
COMERCIAL-PC    (2026-06-26 19:34:24)
Número de OC emitida por el área para formalizar la compra.</t>
        </r>
      </text>
    </comment>
    <comment ref="P3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ID#AAAB-m4qomc
COMERCIAL-PC    (2026-06-26 19:34:24)
Número de factura recibida por la compra asociada a la OC emitida.</t>
        </r>
      </text>
    </comment>
    <comment ref="Q3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ID#AAAB-m4qomM
COMERCIAL-PC    (2026-06-26 19:34:24)
Identifica al emisor del pago por parte de la empresa.</t>
        </r>
      </text>
    </comment>
    <comment ref="R3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ID#AAAB-m4qomk
COMERCIAL-PC    (2026-06-26 19:34:24)
Estado real de llegada a nuestra bodega de los productos comprados.</t>
        </r>
      </text>
    </comment>
    <comment ref="S3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ID#AAAB-m4qomU
COMERCIAL-PC    (2026-06-26 19:34:24)
Link real de cotización inicial</t>
        </r>
      </text>
    </comment>
    <comment ref="T3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ID#AAAB-m4qomY
COMERCIAL-PC    (2026-06-26 19:34:24)
Link alternativo de compra.</t>
        </r>
      </text>
    </comment>
    <comment ref="U3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ID#AAAB-m4qonY
COMERCIAL-PC    (2026-06-26 19:34:24)
SKU utilizado en OBUMA.</t>
        </r>
      </text>
    </comment>
    <comment ref="J28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ID#AAAB-m4qoms
COMERCIAL-PC    (2026-06-26 19:34:24)
Total del precio de venta. (NO MODIFICAR FORMULA)</t>
        </r>
      </text>
    </comment>
    <comment ref="M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ID#AAAB-m4qol0
COMERCIAL-PC    (2026-06-26 19:34:24)
Precio de venta real del proyecto. (NO MODIFICAR FORMULA)</t>
        </r>
      </text>
    </comment>
    <comment ref="J29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ID#AAAB-m4qom4
COMERCIAL-PC    (2026-06-26 19:34:24)
Total del costo de compra. (NO MODIFICAR FORMULA)</t>
        </r>
      </text>
    </comment>
    <comment ref="M29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ID#AAAB-m4qonc
COMERCIAL-PC    (2026-06-26 19:34:24)
Costo real del proyecto. (NO MODIFICAR FORMULA)</t>
        </r>
      </text>
    </comment>
    <comment ref="J30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ID#AAAB-m4qols
COMERCIAL-PC    (2026-06-26 19:34:24)
Utilidad neta del proyecto. (NO MODIFICAR FORMULA)</t>
        </r>
      </text>
    </comment>
    <comment ref="M30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ID#AAAB-m4qong
COMERCIAL-PC    (2026-06-26 19:34:24)
Utilidad real del proyecto. (NO MODIFICAR FORMULA)</t>
        </r>
      </text>
    </comment>
    <comment ref="J31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ID#AAAB-m4qomo
COMERCIAL-PC    (2026-06-26 19:34:24)
Margen sobre el precio de venta respecto al costo. (NO MODIFICAR FORMULA)</t>
        </r>
      </text>
    </comment>
    <comment ref="M3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ID#AAAB-m4qom8
COMERCIAL-PC    (2026-06-26 19:34:24)
Margen real del proyecto</t>
        </r>
      </text>
    </comment>
    <comment ref="J32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ID#AAAB-m4qonA
COMERCIAL-PC    (2026-06-26 19:34:24)
Porcentaje de distancia del precio de venta respecto del presupuesto del proyecto.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eHFH0cBuvFVUN9ZB+pBDmbmtDOw=="/>
    </ext>
  </extLst>
</comments>
</file>

<file path=xl/sharedStrings.xml><?xml version="1.0" encoding="utf-8"?>
<sst xmlns="http://schemas.openxmlformats.org/spreadsheetml/2006/main" count="102" uniqueCount="76">
  <si>
    <t xml:space="preserve">SECCION ASISTENTE DE GESTIÓN </t>
  </si>
  <si>
    <t>SECCION COMPRAS</t>
  </si>
  <si>
    <t>COSTEO ORIGINAL</t>
  </si>
  <si>
    <t>PRECIOS PARA MERCADOPUBLICO</t>
  </si>
  <si>
    <t>Proceso de compra</t>
  </si>
  <si>
    <t>ITEM</t>
  </si>
  <si>
    <t>Detalle de producto</t>
  </si>
  <si>
    <t>Unidad de medida</t>
  </si>
  <si>
    <t>Sku de proveedor</t>
  </si>
  <si>
    <t>Cantidad  original</t>
  </si>
  <si>
    <t>VALOR C/ IVA</t>
  </si>
  <si>
    <t>Costo unitario neto</t>
  </si>
  <si>
    <t>Costo total neto</t>
  </si>
  <si>
    <t>Precio unitario venta</t>
  </si>
  <si>
    <t>Precio unitario sin decimales</t>
  </si>
  <si>
    <t>Precio total neto</t>
  </si>
  <si>
    <t>Costo unitario REAL</t>
  </si>
  <si>
    <t>Costo total neto REAL</t>
  </si>
  <si>
    <t>VARIACION</t>
  </si>
  <si>
    <t>Orden de compra</t>
  </si>
  <si>
    <t>Factura recibida</t>
  </si>
  <si>
    <t>Pago realizado por:</t>
  </si>
  <si>
    <t>Estado de recepción</t>
  </si>
  <si>
    <t>Link 1</t>
  </si>
  <si>
    <t>Link 2</t>
  </si>
  <si>
    <t>Sku propio</t>
  </si>
  <si>
    <t>Link 3</t>
  </si>
  <si>
    <t>Producto 1</t>
  </si>
  <si>
    <t>Pendiente</t>
  </si>
  <si>
    <t>Producto 2</t>
  </si>
  <si>
    <t>Producto 3</t>
  </si>
  <si>
    <t>Producto 4</t>
  </si>
  <si>
    <t>Producto 5</t>
  </si>
  <si>
    <t>Producto 6</t>
  </si>
  <si>
    <t>Producto 7</t>
  </si>
  <si>
    <t>Producto 8</t>
  </si>
  <si>
    <t>Producto 9</t>
  </si>
  <si>
    <t>Producto 10</t>
  </si>
  <si>
    <t>Producto 11</t>
  </si>
  <si>
    <t>Producto 12</t>
  </si>
  <si>
    <t>Producto 13</t>
  </si>
  <si>
    <t>Producto 14</t>
  </si>
  <si>
    <t>Producto 15</t>
  </si>
  <si>
    <t>Producto 16</t>
  </si>
  <si>
    <t>Producto 17</t>
  </si>
  <si>
    <t>Producto 18</t>
  </si>
  <si>
    <t>Producto 19</t>
  </si>
  <si>
    <t>Producto 20</t>
  </si>
  <si>
    <t>valo C/iva</t>
  </si>
  <si>
    <t>Presupuesto licitación neto</t>
  </si>
  <si>
    <t>Presupuesto iva incluido</t>
  </si>
  <si>
    <t>Total venta C/iva</t>
  </si>
  <si>
    <t>Total neto venta</t>
  </si>
  <si>
    <t>venta iva</t>
  </si>
  <si>
    <t>Total costo neto</t>
  </si>
  <si>
    <t>Total costo REAL</t>
  </si>
  <si>
    <t>Utilidad total neta</t>
  </si>
  <si>
    <t>Utilidad neta REAL</t>
  </si>
  <si>
    <t>% Margen</t>
  </si>
  <si>
    <t>% distancia del tope</t>
  </si>
  <si>
    <t>% de Variación</t>
  </si>
  <si>
    <t>Producto y proveedor - DATOS PARA ORDEN DE COMPRA</t>
  </si>
  <si>
    <t>Detalle</t>
  </si>
  <si>
    <t xml:space="preserve">Cantidad </t>
  </si>
  <si>
    <t>Marca</t>
  </si>
  <si>
    <t>Modelo</t>
  </si>
  <si>
    <t>Procedencia</t>
  </si>
  <si>
    <t>Razón social proveedor</t>
  </si>
  <si>
    <t>Rut proveedor</t>
  </si>
  <si>
    <t>Dirección proveedor</t>
  </si>
  <si>
    <t>Vendedor</t>
  </si>
  <si>
    <t>Fono contacto</t>
  </si>
  <si>
    <t>Mail</t>
  </si>
  <si>
    <t>Plazo de entrega</t>
  </si>
  <si>
    <t>Número de OC</t>
  </si>
  <si>
    <t>Factura de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</si>
</sst>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;[Red]&quot;$&quot;\-#,##0"/>
    <numFmt numFmtId="42" formatCode="_ &quot;$&quot;* #,##0_ ;_ &quot;$&quot;* \-#,##0_ ;_ &quot;$&quot;* &quot;-&quot;_ ;_ @_ "/>
    <numFmt numFmtId="164" formatCode="_-&quot;$&quot;\ * #,##0_-;\-&quot;$&quot;\ * #,##0_-;_-&quot;$&quot;\ * &quot;-&quot;??_-;_-@"/>
    <numFmt numFmtId="165" formatCode="_-* #,##0.00\ &quot;€&quot;_-;\-* #,##0.00\ &quot;€&quot;_-;_-* &quot;-&quot;??\ &quot;€&quot;_-;_-@"/>
    <numFmt numFmtId="166" formatCode="_ [$$-340A]* #,##0_ ;_ [$$-340A]* \-#,##0_ ;_ [$$-340A]* &quot;-&quot;_ ;_ @_ "/>
    <numFmt numFmtId="167" formatCode="#,##0_ ;\-#,##0\ "/>
  </numFmts>
  <fonts count="16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name val="Calibri"/>
    </font>
    <font>
      <sz val="9"/>
      <color theme="1"/>
      <name val="Calibri"/>
    </font>
    <font>
      <sz val="9"/>
      <color rgb="FF000000"/>
      <name val="Calibri"/>
    </font>
    <font>
      <sz val="10"/>
      <color theme="1"/>
      <name val="Arial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rgb="FF0000FF"/>
      <name val="Calibri"/>
    </font>
    <font>
      <u/>
      <sz val="11"/>
      <color rgb="FF0000FF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11"/>
      <color theme="10"/>
      <name val="Calibri"/>
    </font>
    <font>
      <u/>
      <sz val="9"/>
      <color theme="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BFBFBF"/>
        <bgColor rgb="FFBFBFBF"/>
      </patternFill>
    </fill>
    <fill>
      <patternFill patternType="solid">
        <fgColor rgb="FFB4C6E7"/>
        <bgColor rgb="FFB4C6E7"/>
      </patternFill>
    </fill>
    <fill>
      <patternFill patternType="solid">
        <fgColor rgb="FF8EAADB"/>
        <bgColor rgb="FF8EAADB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92D050"/>
        <bgColor rgb="FF92D050"/>
      </patternFill>
    </fill>
    <fill>
      <patternFill patternType="solid">
        <fgColor rgb="FFD0CECE"/>
        <bgColor rgb="FFD0CECE"/>
      </patternFill>
    </fill>
  </fills>
  <borders count="2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2">
    <xf numFmtId="0" fontId="0" fillId="0" borderId="0" xfId="0" applyFont="1" applyAlignment="1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4" fillId="0" borderId="10" xfId="0" applyFont="1" applyBorder="1" applyAlignment="1">
      <alignment horizontal="center" vertical="center" wrapText="1"/>
    </xf>
    <xf numFmtId="0" fontId="1" fillId="0" borderId="10" xfId="0" applyFont="1" applyBorder="1"/>
    <xf numFmtId="0" fontId="3" fillId="0" borderId="10" xfId="0" applyFont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164" fontId="3" fillId="3" borderId="10" xfId="0" applyNumberFormat="1" applyFont="1" applyFill="1" applyBorder="1" applyAlignment="1">
      <alignment horizontal="center" vertical="center" wrapText="1"/>
    </xf>
    <xf numFmtId="165" fontId="3" fillId="3" borderId="10" xfId="0" applyNumberFormat="1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164" fontId="3" fillId="5" borderId="10" xfId="0" applyNumberFormat="1" applyFont="1" applyFill="1" applyBorder="1" applyAlignment="1">
      <alignment horizontal="center" vertic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0" borderId="10" xfId="0" applyFont="1" applyBorder="1" applyAlignment="1">
      <alignment horizontal="left" vertical="top" wrapText="1"/>
    </xf>
    <xf numFmtId="1" fontId="4" fillId="0" borderId="10" xfId="0" applyNumberFormat="1" applyFont="1" applyBorder="1" applyAlignment="1">
      <alignment horizontal="center" vertical="top" shrinkToFit="1"/>
    </xf>
    <xf numFmtId="1" fontId="4" fillId="6" borderId="10" xfId="0" applyNumberFormat="1" applyFont="1" applyFill="1" applyBorder="1" applyAlignment="1">
      <alignment horizontal="center" vertical="top" shrinkToFit="1"/>
    </xf>
    <xf numFmtId="42" fontId="5" fillId="0" borderId="10" xfId="0" applyNumberFormat="1" applyFont="1" applyBorder="1"/>
    <xf numFmtId="42" fontId="4" fillId="0" borderId="10" xfId="0" applyNumberFormat="1" applyFont="1" applyBorder="1" applyAlignment="1">
      <alignment horizontal="center" vertical="center"/>
    </xf>
    <xf numFmtId="42" fontId="4" fillId="0" borderId="10" xfId="0" applyNumberFormat="1" applyFont="1" applyBorder="1" applyAlignment="1">
      <alignment horizontal="center" vertical="center" wrapText="1"/>
    </xf>
    <xf numFmtId="42" fontId="4" fillId="4" borderId="10" xfId="0" applyNumberFormat="1" applyFont="1" applyFill="1" applyBorder="1" applyAlignment="1">
      <alignment horizontal="center" vertical="center" wrapText="1"/>
    </xf>
    <xf numFmtId="42" fontId="4" fillId="2" borderId="11" xfId="0" applyNumberFormat="1" applyFont="1" applyFill="1" applyBorder="1" applyAlignment="1">
      <alignment horizontal="center" vertical="center" wrapText="1"/>
    </xf>
    <xf numFmtId="42" fontId="4" fillId="2" borderId="10" xfId="0" applyNumberFormat="1" applyFont="1" applyFill="1" applyBorder="1" applyAlignment="1">
      <alignment horizontal="center" vertical="center" wrapText="1"/>
    </xf>
    <xf numFmtId="9" fontId="4" fillId="2" borderId="10" xfId="0" applyNumberFormat="1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6" fontId="4" fillId="2" borderId="12" xfId="0" applyNumberFormat="1" applyFont="1" applyFill="1" applyBorder="1" applyAlignment="1">
      <alignment horizontal="center" vertical="center" wrapText="1"/>
    </xf>
    <xf numFmtId="0" fontId="6" fillId="0" borderId="10" xfId="0" applyFont="1" applyBorder="1" applyAlignment="1">
      <alignment wrapText="1"/>
    </xf>
    <xf numFmtId="0" fontId="7" fillId="0" borderId="10" xfId="0" applyFont="1" applyBorder="1"/>
    <xf numFmtId="1" fontId="4" fillId="6" borderId="10" xfId="0" applyNumberFormat="1" applyFont="1" applyFill="1" applyBorder="1" applyAlignment="1">
      <alignment horizontal="center" vertical="top" shrinkToFit="1"/>
    </xf>
    <xf numFmtId="0" fontId="8" fillId="0" borderId="0" xfId="0" applyFont="1"/>
    <xf numFmtId="0" fontId="9" fillId="0" borderId="10" xfId="0" applyFont="1" applyBorder="1" applyAlignment="1">
      <alignment wrapText="1"/>
    </xf>
    <xf numFmtId="0" fontId="10" fillId="0" borderId="10" xfId="0" applyFont="1" applyBorder="1"/>
    <xf numFmtId="0" fontId="11" fillId="0" borderId="10" xfId="0" applyFont="1" applyBorder="1" applyAlignment="1">
      <alignment horizontal="left" wrapText="1"/>
    </xf>
    <xf numFmtId="0" fontId="12" fillId="0" borderId="10" xfId="0" applyFont="1" applyBorder="1" applyAlignment="1">
      <alignment horizontal="left"/>
    </xf>
    <xf numFmtId="0" fontId="13" fillId="0" borderId="10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42" fontId="3" fillId="0" borderId="0" xfId="0" applyNumberFormat="1" applyFont="1" applyAlignment="1">
      <alignment horizontal="center" vertical="center"/>
    </xf>
    <xf numFmtId="42" fontId="4" fillId="0" borderId="0" xfId="0" applyNumberFormat="1" applyFont="1" applyAlignment="1">
      <alignment horizontal="center" vertical="center" wrapText="1"/>
    </xf>
    <xf numFmtId="42" fontId="4" fillId="2" borderId="13" xfId="0" applyNumberFormat="1" applyFont="1" applyFill="1" applyBorder="1" applyAlignment="1">
      <alignment horizontal="center" vertical="center" wrapText="1"/>
    </xf>
    <xf numFmtId="9" fontId="4" fillId="2" borderId="13" xfId="0" applyNumberFormat="1" applyFont="1" applyFill="1" applyBorder="1" applyAlignment="1">
      <alignment horizontal="center" vertical="center" wrapText="1"/>
    </xf>
    <xf numFmtId="6" fontId="4" fillId="0" borderId="14" xfId="0" applyNumberFormat="1" applyFont="1" applyBorder="1" applyAlignment="1">
      <alignment horizontal="center" vertical="center" wrapText="1"/>
    </xf>
    <xf numFmtId="3" fontId="3" fillId="7" borderId="10" xfId="0" applyNumberFormat="1" applyFont="1" applyFill="1" applyBorder="1" applyAlignment="1">
      <alignment horizontal="center" vertical="center"/>
    </xf>
    <xf numFmtId="6" fontId="3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3" fontId="3" fillId="4" borderId="10" xfId="0" applyNumberFormat="1" applyFont="1" applyFill="1" applyBorder="1" applyAlignment="1">
      <alignment horizontal="center" vertical="center"/>
    </xf>
    <xf numFmtId="3" fontId="3" fillId="0" borderId="10" xfId="0" applyNumberFormat="1" applyFont="1" applyBorder="1" applyAlignment="1">
      <alignment horizontal="center" vertical="center"/>
    </xf>
    <xf numFmtId="164" fontId="3" fillId="6" borderId="10" xfId="0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3" fontId="3" fillId="6" borderId="10" xfId="0" applyNumberFormat="1" applyFont="1" applyFill="1" applyBorder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 wrapText="1"/>
    </xf>
    <xf numFmtId="164" fontId="3" fillId="4" borderId="10" xfId="0" applyNumberFormat="1" applyFont="1" applyFill="1" applyBorder="1" applyAlignment="1">
      <alignment horizontal="center" vertical="center" wrapText="1"/>
    </xf>
    <xf numFmtId="0" fontId="3" fillId="7" borderId="10" xfId="0" applyFont="1" applyFill="1" applyBorder="1" applyAlignment="1">
      <alignment horizontal="center" vertical="center" wrapText="1"/>
    </xf>
    <xf numFmtId="164" fontId="3" fillId="7" borderId="10" xfId="0" applyNumberFormat="1" applyFont="1" applyFill="1" applyBorder="1" applyAlignment="1">
      <alignment horizontal="center" vertical="center"/>
    </xf>
    <xf numFmtId="164" fontId="3" fillId="2" borderId="10" xfId="0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 vertical="center" wrapText="1"/>
    </xf>
    <xf numFmtId="164" fontId="3" fillId="8" borderId="10" xfId="0" applyNumberFormat="1" applyFont="1" applyFill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167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wrapText="1"/>
    </xf>
    <xf numFmtId="0" fontId="3" fillId="9" borderId="19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9" borderId="20" xfId="0" applyFont="1" applyFill="1" applyBorder="1" applyAlignment="1">
      <alignment horizontal="center" vertical="center" wrapText="1"/>
    </xf>
    <xf numFmtId="0" fontId="4" fillId="9" borderId="21" xfId="0" applyFont="1" applyFill="1" applyBorder="1" applyAlignment="1">
      <alignment horizontal="center" vertical="center" wrapText="1"/>
    </xf>
    <xf numFmtId="0" fontId="3" fillId="9" borderId="21" xfId="0" applyFont="1" applyFill="1" applyBorder="1" applyAlignment="1">
      <alignment horizontal="center" vertical="center" wrapText="1"/>
    </xf>
    <xf numFmtId="164" fontId="3" fillId="9" borderId="21" xfId="0" applyNumberFormat="1" applyFont="1" applyFill="1" applyBorder="1" applyAlignment="1">
      <alignment horizontal="center" vertical="center" wrapText="1"/>
    </xf>
    <xf numFmtId="164" fontId="3" fillId="9" borderId="22" xfId="0" applyNumberFormat="1" applyFont="1" applyFill="1" applyBorder="1" applyAlignment="1">
      <alignment horizontal="center" vertical="center" wrapText="1"/>
    </xf>
    <xf numFmtId="0" fontId="3" fillId="9" borderId="11" xfId="0" applyFont="1" applyFill="1" applyBorder="1" applyAlignment="1">
      <alignment horizontal="center" vertical="center" wrapText="1"/>
    </xf>
    <xf numFmtId="0" fontId="3" fillId="9" borderId="10" xfId="0" applyFont="1" applyFill="1" applyBorder="1" applyAlignment="1">
      <alignment horizontal="center" vertical="center" wrapText="1"/>
    </xf>
    <xf numFmtId="0" fontId="3" fillId="9" borderId="23" xfId="0" applyFont="1" applyFill="1" applyBorder="1" applyAlignment="1">
      <alignment horizontal="center" vertical="center" wrapText="1"/>
    </xf>
    <xf numFmtId="0" fontId="3" fillId="9" borderId="24" xfId="0" applyFont="1" applyFill="1" applyBorder="1" applyAlignment="1">
      <alignment horizontal="center" vertical="center" wrapText="1"/>
    </xf>
    <xf numFmtId="0" fontId="3" fillId="9" borderId="24" xfId="0" applyFont="1" applyFill="1" applyBorder="1" applyAlignment="1">
      <alignment horizontal="left" vertical="center" wrapText="1"/>
    </xf>
    <xf numFmtId="0" fontId="3" fillId="9" borderId="19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23" xfId="0" applyNumberFormat="1" applyFont="1" applyBorder="1" applyAlignment="1">
      <alignment horizontal="center" vertical="center"/>
    </xf>
    <xf numFmtId="6" fontId="3" fillId="0" borderId="5" xfId="0" applyNumberFormat="1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3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 applyAlignment="1">
      <alignment horizontal="center" vertical="center" wrapText="1"/>
    </xf>
    <xf numFmtId="0" fontId="2" fillId="0" borderId="5" xfId="0" applyFont="1" applyBorder="1"/>
    <xf numFmtId="0" fontId="3" fillId="3" borderId="4" xfId="0" applyFont="1" applyFill="1" applyBorder="1" applyAlignment="1">
      <alignment horizontal="center" vertical="center"/>
    </xf>
    <xf numFmtId="0" fontId="2" fillId="0" borderId="6" xfId="0" applyFont="1" applyBorder="1"/>
    <xf numFmtId="0" fontId="3" fillId="4" borderId="4" xfId="0" applyFont="1" applyFill="1" applyBorder="1" applyAlignment="1">
      <alignment horizontal="center" vertical="center"/>
    </xf>
    <xf numFmtId="164" fontId="3" fillId="2" borderId="7" xfId="0" applyNumberFormat="1" applyFont="1" applyFill="1" applyBorder="1" applyAlignment="1">
      <alignment horizontal="center" vertical="center"/>
    </xf>
    <xf numFmtId="0" fontId="2" fillId="0" borderId="8" xfId="0" applyFont="1" applyBorder="1"/>
    <xf numFmtId="0" fontId="2" fillId="0" borderId="9" xfId="0" applyFont="1" applyBorder="1"/>
    <xf numFmtId="0" fontId="3" fillId="0" borderId="0" xfId="0" applyFont="1" applyAlignment="1">
      <alignment horizontal="center" vertical="center"/>
    </xf>
    <xf numFmtId="0" fontId="2" fillId="0" borderId="15" xfId="0" applyFont="1" applyBorder="1"/>
    <xf numFmtId="0" fontId="3" fillId="9" borderId="16" xfId="0" applyFont="1" applyFill="1" applyBorder="1" applyAlignment="1">
      <alignment horizontal="center" vertical="center"/>
    </xf>
    <xf numFmtId="0" fontId="2" fillId="0" borderId="17" xfId="0" applyFont="1" applyBorder="1"/>
    <xf numFmtId="0" fontId="2" fillId="0" borderId="18" xfId="0" applyFont="1" applyBorder="1"/>
  </cellXfs>
  <cellStyles count="1">
    <cellStyle name="Normal" xfId="0" builtinId="0"/>
  </cellStyles>
  <dxfs count="10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0"/>
  <sheetViews>
    <sheetView tabSelected="1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L36" sqref="L36"/>
    </sheetView>
  </sheetViews>
  <sheetFormatPr baseColWidth="10" defaultColWidth="14.44140625" defaultRowHeight="15" customHeight="1" x14ac:dyDescent="0.3"/>
  <cols>
    <col min="1" max="1" width="6" customWidth="1"/>
    <col min="2" max="2" width="33.88671875" customWidth="1"/>
    <col min="3" max="3" width="20.5546875" customWidth="1"/>
    <col min="4" max="4" width="9.88671875" customWidth="1"/>
    <col min="5" max="5" width="13.44140625" customWidth="1"/>
    <col min="6" max="6" width="12.44140625" customWidth="1"/>
    <col min="7" max="7" width="14.5546875" customWidth="1"/>
    <col min="8" max="8" width="13.44140625" customWidth="1"/>
    <col min="9" max="9" width="17.109375" customWidth="1"/>
    <col min="10" max="10" width="13.88671875" customWidth="1"/>
    <col min="11" max="11" width="11.5546875" customWidth="1"/>
    <col min="12" max="12" width="12.44140625" customWidth="1"/>
    <col min="13" max="13" width="11.109375" customWidth="1"/>
    <col min="14" max="14" width="12.5546875" customWidth="1"/>
    <col min="15" max="16" width="13.44140625" customWidth="1"/>
    <col min="17" max="17" width="11" customWidth="1"/>
    <col min="18" max="22" width="10.44140625" customWidth="1"/>
    <col min="23" max="29" width="13.5546875" customWidth="1"/>
  </cols>
  <sheetData>
    <row r="1" spans="1:30" ht="15" customHeight="1" x14ac:dyDescent="0.3">
      <c r="B1" s="1"/>
      <c r="C1" s="94" t="s">
        <v>0</v>
      </c>
      <c r="D1" s="95"/>
      <c r="E1" s="95"/>
      <c r="F1" s="95"/>
      <c r="G1" s="95"/>
      <c r="H1" s="95"/>
      <c r="I1" s="95"/>
      <c r="J1" s="95"/>
      <c r="K1" s="95"/>
      <c r="L1" s="96" t="s">
        <v>1</v>
      </c>
      <c r="M1" s="97"/>
      <c r="N1" s="97"/>
      <c r="O1" s="97"/>
      <c r="P1" s="97"/>
      <c r="Q1" s="97"/>
      <c r="R1" s="98"/>
    </row>
    <row r="2" spans="1:30" ht="14.25" customHeight="1" x14ac:dyDescent="0.3">
      <c r="A2" s="2"/>
      <c r="B2" s="3"/>
      <c r="C2" s="1"/>
      <c r="D2" s="99"/>
      <c r="E2" s="100"/>
      <c r="F2" s="101" t="s">
        <v>2</v>
      </c>
      <c r="G2" s="102"/>
      <c r="H2" s="102"/>
      <c r="I2" s="100"/>
      <c r="J2" s="103" t="s">
        <v>3</v>
      </c>
      <c r="K2" s="100"/>
      <c r="L2" s="104" t="s">
        <v>4</v>
      </c>
      <c r="M2" s="105"/>
      <c r="N2" s="105"/>
      <c r="O2" s="105"/>
      <c r="P2" s="105"/>
      <c r="Q2" s="105"/>
      <c r="R2" s="106"/>
      <c r="S2" s="5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ht="24" customHeight="1" x14ac:dyDescent="0.3">
      <c r="A3" s="4" t="s">
        <v>5</v>
      </c>
      <c r="B3" s="6" t="s">
        <v>6</v>
      </c>
      <c r="C3" s="7" t="s">
        <v>7</v>
      </c>
      <c r="D3" s="6" t="s">
        <v>8</v>
      </c>
      <c r="E3" s="8" t="s">
        <v>9</v>
      </c>
      <c r="F3" s="9" t="s">
        <v>10</v>
      </c>
      <c r="G3" s="10" t="s">
        <v>11</v>
      </c>
      <c r="H3" s="11" t="s">
        <v>12</v>
      </c>
      <c r="I3" s="9" t="s">
        <v>13</v>
      </c>
      <c r="J3" s="12" t="s">
        <v>14</v>
      </c>
      <c r="K3" s="13" t="s">
        <v>15</v>
      </c>
      <c r="L3" s="14" t="s">
        <v>16</v>
      </c>
      <c r="M3" s="15" t="s">
        <v>17</v>
      </c>
      <c r="N3" s="15" t="s">
        <v>18</v>
      </c>
      <c r="O3" s="15" t="s">
        <v>19</v>
      </c>
      <c r="P3" s="15" t="s">
        <v>20</v>
      </c>
      <c r="Q3" s="16" t="s">
        <v>21</v>
      </c>
      <c r="R3" s="16" t="s">
        <v>22</v>
      </c>
      <c r="S3" s="17" t="s">
        <v>23</v>
      </c>
      <c r="T3" s="18" t="s">
        <v>24</v>
      </c>
      <c r="U3" s="18" t="s">
        <v>25</v>
      </c>
      <c r="V3" s="17" t="s">
        <v>26</v>
      </c>
      <c r="W3" s="2"/>
      <c r="X3" s="2"/>
      <c r="Y3" s="2"/>
      <c r="Z3" s="2"/>
      <c r="AA3" s="2"/>
      <c r="AB3" s="2"/>
      <c r="AC3" s="2"/>
      <c r="AD3" s="2"/>
    </row>
    <row r="4" spans="1:30" ht="12" customHeight="1" x14ac:dyDescent="0.3">
      <c r="A4" s="19">
        <v>1</v>
      </c>
      <c r="B4" s="20" t="s">
        <v>27</v>
      </c>
      <c r="C4" s="7"/>
      <c r="D4" s="20"/>
      <c r="E4" s="21">
        <v>1</v>
      </c>
      <c r="F4" s="22">
        <v>0</v>
      </c>
      <c r="G4" s="23">
        <f t="shared" ref="G4:G23" si="0">F4/1.19</f>
        <v>0</v>
      </c>
      <c r="H4" s="24">
        <f t="shared" ref="H4:H23" si="1">E4*G4</f>
        <v>0</v>
      </c>
      <c r="I4" s="25">
        <f t="shared" ref="I4:I23" si="2">G4*1.34</f>
        <v>0</v>
      </c>
      <c r="J4" s="26">
        <f t="shared" ref="J4:J23" si="3">TRUNC(I4,0)</f>
        <v>0</v>
      </c>
      <c r="K4" s="26">
        <f t="shared" ref="K4:K23" si="4">J4*E4</f>
        <v>0</v>
      </c>
      <c r="L4" s="27">
        <v>0</v>
      </c>
      <c r="M4" s="28">
        <f t="shared" ref="M4:M23" si="5">L4*E4</f>
        <v>0</v>
      </c>
      <c r="N4" s="29" t="e">
        <f t="shared" ref="N4:N23" si="6">(L4/G4)-1</f>
        <v>#DIV/0!</v>
      </c>
      <c r="O4" s="30"/>
      <c r="P4" s="30"/>
      <c r="Q4" s="31"/>
      <c r="R4" s="32" t="s">
        <v>28</v>
      </c>
      <c r="S4" s="33"/>
      <c r="T4" s="18"/>
      <c r="U4" s="18"/>
      <c r="V4" s="34"/>
      <c r="W4" s="2"/>
      <c r="X4" s="2"/>
      <c r="Y4" s="2"/>
      <c r="Z4" s="2"/>
      <c r="AA4" s="2"/>
      <c r="AB4" s="2"/>
      <c r="AC4" s="2"/>
      <c r="AD4" s="2"/>
    </row>
    <row r="5" spans="1:30" ht="12" customHeight="1" x14ac:dyDescent="0.3">
      <c r="A5" s="19">
        <v>2</v>
      </c>
      <c r="B5" s="20" t="s">
        <v>29</v>
      </c>
      <c r="C5" s="7"/>
      <c r="D5" s="20"/>
      <c r="E5" s="21">
        <v>1</v>
      </c>
      <c r="F5" s="22">
        <v>0</v>
      </c>
      <c r="G5" s="23">
        <f t="shared" si="0"/>
        <v>0</v>
      </c>
      <c r="H5" s="24">
        <f t="shared" si="1"/>
        <v>0</v>
      </c>
      <c r="I5" s="25">
        <f t="shared" si="2"/>
        <v>0</v>
      </c>
      <c r="J5" s="26">
        <f t="shared" si="3"/>
        <v>0</v>
      </c>
      <c r="K5" s="26">
        <f t="shared" si="4"/>
        <v>0</v>
      </c>
      <c r="L5" s="27">
        <v>0</v>
      </c>
      <c r="M5" s="28">
        <f t="shared" si="5"/>
        <v>0</v>
      </c>
      <c r="N5" s="29" t="e">
        <f t="shared" si="6"/>
        <v>#DIV/0!</v>
      </c>
      <c r="O5" s="30"/>
      <c r="P5" s="30"/>
      <c r="Q5" s="31"/>
      <c r="R5" s="32" t="s">
        <v>28</v>
      </c>
      <c r="S5" s="33"/>
      <c r="T5" s="18"/>
      <c r="U5" s="18"/>
      <c r="V5" s="34"/>
      <c r="W5" s="2"/>
      <c r="X5" s="2"/>
      <c r="Y5" s="2"/>
      <c r="Z5" s="2"/>
      <c r="AA5" s="2"/>
      <c r="AB5" s="2"/>
      <c r="AC5" s="2"/>
      <c r="AD5" s="2"/>
    </row>
    <row r="6" spans="1:30" ht="12" customHeight="1" x14ac:dyDescent="0.3">
      <c r="A6" s="19">
        <v>3</v>
      </c>
      <c r="B6" s="20" t="s">
        <v>30</v>
      </c>
      <c r="C6" s="7"/>
      <c r="D6" s="20"/>
      <c r="E6" s="21">
        <v>1</v>
      </c>
      <c r="F6" s="35">
        <v>0</v>
      </c>
      <c r="G6" s="23">
        <f t="shared" si="0"/>
        <v>0</v>
      </c>
      <c r="H6" s="24">
        <f t="shared" si="1"/>
        <v>0</v>
      </c>
      <c r="I6" s="25">
        <f t="shared" si="2"/>
        <v>0</v>
      </c>
      <c r="J6" s="26">
        <f t="shared" si="3"/>
        <v>0</v>
      </c>
      <c r="K6" s="26">
        <f t="shared" si="4"/>
        <v>0</v>
      </c>
      <c r="L6" s="27">
        <v>0</v>
      </c>
      <c r="M6" s="28">
        <f t="shared" si="5"/>
        <v>0</v>
      </c>
      <c r="N6" s="29" t="e">
        <f t="shared" si="6"/>
        <v>#DIV/0!</v>
      </c>
      <c r="O6" s="30"/>
      <c r="P6" s="30"/>
      <c r="Q6" s="31"/>
      <c r="R6" s="32" t="s">
        <v>28</v>
      </c>
      <c r="S6" s="33"/>
      <c r="T6" s="18"/>
      <c r="U6" s="18"/>
      <c r="V6" s="34"/>
      <c r="W6" s="2"/>
      <c r="X6" s="2"/>
      <c r="Y6" s="2"/>
      <c r="Z6" s="2"/>
      <c r="AA6" s="2"/>
      <c r="AB6" s="2"/>
      <c r="AC6" s="2"/>
      <c r="AD6" s="2"/>
    </row>
    <row r="7" spans="1:30" ht="12" customHeight="1" x14ac:dyDescent="0.3">
      <c r="A7" s="19">
        <v>4</v>
      </c>
      <c r="B7" s="20" t="s">
        <v>31</v>
      </c>
      <c r="C7" s="7"/>
      <c r="D7" s="20"/>
      <c r="E7" s="21">
        <v>1</v>
      </c>
      <c r="F7" s="35">
        <v>0</v>
      </c>
      <c r="G7" s="23">
        <f t="shared" si="0"/>
        <v>0</v>
      </c>
      <c r="H7" s="24">
        <f t="shared" si="1"/>
        <v>0</v>
      </c>
      <c r="I7" s="25">
        <f t="shared" si="2"/>
        <v>0</v>
      </c>
      <c r="J7" s="26">
        <f t="shared" si="3"/>
        <v>0</v>
      </c>
      <c r="K7" s="26">
        <f t="shared" si="4"/>
        <v>0</v>
      </c>
      <c r="L7" s="27">
        <v>0</v>
      </c>
      <c r="M7" s="28">
        <f t="shared" si="5"/>
        <v>0</v>
      </c>
      <c r="N7" s="29" t="e">
        <f t="shared" si="6"/>
        <v>#DIV/0!</v>
      </c>
      <c r="O7" s="30"/>
      <c r="P7" s="30"/>
      <c r="Q7" s="31"/>
      <c r="R7" s="32" t="s">
        <v>28</v>
      </c>
      <c r="S7" s="33"/>
      <c r="T7" s="18"/>
      <c r="U7" s="18"/>
      <c r="V7" s="34"/>
      <c r="W7" s="2"/>
      <c r="X7" s="2"/>
      <c r="Y7" s="2"/>
      <c r="Z7" s="2"/>
      <c r="AA7" s="2"/>
      <c r="AB7" s="2"/>
      <c r="AC7" s="2"/>
      <c r="AD7" s="2"/>
    </row>
    <row r="8" spans="1:30" ht="12" customHeight="1" x14ac:dyDescent="0.3">
      <c r="A8" s="19">
        <v>5</v>
      </c>
      <c r="B8" s="20" t="s">
        <v>32</v>
      </c>
      <c r="C8" s="7"/>
      <c r="D8" s="20"/>
      <c r="E8" s="21">
        <v>1</v>
      </c>
      <c r="F8" s="35">
        <v>0</v>
      </c>
      <c r="G8" s="23">
        <f t="shared" si="0"/>
        <v>0</v>
      </c>
      <c r="H8" s="24">
        <f t="shared" si="1"/>
        <v>0</v>
      </c>
      <c r="I8" s="25">
        <f t="shared" si="2"/>
        <v>0</v>
      </c>
      <c r="J8" s="26">
        <f t="shared" si="3"/>
        <v>0</v>
      </c>
      <c r="K8" s="26">
        <f t="shared" si="4"/>
        <v>0</v>
      </c>
      <c r="L8" s="27">
        <v>0</v>
      </c>
      <c r="M8" s="28">
        <f t="shared" si="5"/>
        <v>0</v>
      </c>
      <c r="N8" s="29" t="e">
        <f t="shared" si="6"/>
        <v>#DIV/0!</v>
      </c>
      <c r="O8" s="30"/>
      <c r="P8" s="30"/>
      <c r="Q8" s="31"/>
      <c r="R8" s="32" t="s">
        <v>28</v>
      </c>
      <c r="S8" s="33"/>
      <c r="T8" s="18"/>
      <c r="U8" s="18"/>
      <c r="V8" s="34"/>
      <c r="W8" s="2"/>
      <c r="X8" s="2"/>
      <c r="Y8" s="2"/>
      <c r="Z8" s="2"/>
      <c r="AA8" s="2"/>
      <c r="AB8" s="2"/>
      <c r="AC8" s="2"/>
      <c r="AD8" s="2"/>
    </row>
    <row r="9" spans="1:30" ht="12" customHeight="1" x14ac:dyDescent="0.3">
      <c r="A9" s="19">
        <v>6</v>
      </c>
      <c r="B9" s="20" t="s">
        <v>33</v>
      </c>
      <c r="C9" s="7"/>
      <c r="D9" s="20"/>
      <c r="E9" s="21">
        <v>1</v>
      </c>
      <c r="F9" s="35">
        <v>0</v>
      </c>
      <c r="G9" s="23">
        <f t="shared" si="0"/>
        <v>0</v>
      </c>
      <c r="H9" s="24">
        <f t="shared" si="1"/>
        <v>0</v>
      </c>
      <c r="I9" s="25">
        <f t="shared" si="2"/>
        <v>0</v>
      </c>
      <c r="J9" s="26">
        <f t="shared" si="3"/>
        <v>0</v>
      </c>
      <c r="K9" s="26">
        <f t="shared" si="4"/>
        <v>0</v>
      </c>
      <c r="L9" s="27">
        <v>0</v>
      </c>
      <c r="M9" s="28">
        <f t="shared" si="5"/>
        <v>0</v>
      </c>
      <c r="N9" s="29" t="e">
        <f t="shared" si="6"/>
        <v>#DIV/0!</v>
      </c>
      <c r="O9" s="30"/>
      <c r="P9" s="30"/>
      <c r="Q9" s="31"/>
      <c r="R9" s="32" t="s">
        <v>28</v>
      </c>
      <c r="S9" s="33"/>
      <c r="T9" s="18"/>
      <c r="U9" s="18"/>
      <c r="V9" s="34"/>
      <c r="W9" s="2"/>
      <c r="X9" s="2"/>
      <c r="Y9" s="2"/>
      <c r="Z9" s="2"/>
      <c r="AA9" s="2"/>
      <c r="AB9" s="2"/>
      <c r="AC9" s="2"/>
      <c r="AD9" s="2"/>
    </row>
    <row r="10" spans="1:30" ht="12" customHeight="1" x14ac:dyDescent="0.3">
      <c r="A10" s="19">
        <v>7</v>
      </c>
      <c r="B10" s="20" t="s">
        <v>34</v>
      </c>
      <c r="C10" s="7"/>
      <c r="D10" s="20"/>
      <c r="E10" s="21">
        <v>1</v>
      </c>
      <c r="F10" s="35">
        <v>0</v>
      </c>
      <c r="G10" s="23">
        <f t="shared" si="0"/>
        <v>0</v>
      </c>
      <c r="H10" s="24">
        <f t="shared" si="1"/>
        <v>0</v>
      </c>
      <c r="I10" s="25">
        <f t="shared" si="2"/>
        <v>0</v>
      </c>
      <c r="J10" s="26">
        <f t="shared" si="3"/>
        <v>0</v>
      </c>
      <c r="K10" s="26">
        <f t="shared" si="4"/>
        <v>0</v>
      </c>
      <c r="L10" s="27">
        <v>0</v>
      </c>
      <c r="M10" s="28">
        <f t="shared" si="5"/>
        <v>0</v>
      </c>
      <c r="N10" s="29" t="e">
        <f t="shared" si="6"/>
        <v>#DIV/0!</v>
      </c>
      <c r="O10" s="30"/>
      <c r="P10" s="30"/>
      <c r="Q10" s="31"/>
      <c r="R10" s="32" t="s">
        <v>28</v>
      </c>
      <c r="S10" s="33"/>
      <c r="T10" s="18"/>
      <c r="U10" s="18"/>
      <c r="V10" s="34"/>
      <c r="W10" s="2"/>
      <c r="X10" s="2"/>
      <c r="Y10" s="2"/>
      <c r="Z10" s="2"/>
      <c r="AA10" s="2"/>
      <c r="AB10" s="2"/>
      <c r="AC10" s="2"/>
      <c r="AD10" s="2"/>
    </row>
    <row r="11" spans="1:30" ht="12" customHeight="1" x14ac:dyDescent="0.3">
      <c r="A11" s="19">
        <v>8</v>
      </c>
      <c r="B11" s="20" t="s">
        <v>35</v>
      </c>
      <c r="C11" s="7"/>
      <c r="D11" s="20"/>
      <c r="E11" s="21">
        <v>1</v>
      </c>
      <c r="F11" s="35">
        <v>0</v>
      </c>
      <c r="G11" s="23">
        <f t="shared" si="0"/>
        <v>0</v>
      </c>
      <c r="H11" s="24">
        <f t="shared" si="1"/>
        <v>0</v>
      </c>
      <c r="I11" s="25">
        <f t="shared" si="2"/>
        <v>0</v>
      </c>
      <c r="J11" s="26">
        <f t="shared" si="3"/>
        <v>0</v>
      </c>
      <c r="K11" s="26">
        <f t="shared" si="4"/>
        <v>0</v>
      </c>
      <c r="L11" s="27">
        <v>0</v>
      </c>
      <c r="M11" s="28">
        <f t="shared" si="5"/>
        <v>0</v>
      </c>
      <c r="N11" s="29" t="e">
        <f t="shared" si="6"/>
        <v>#DIV/0!</v>
      </c>
      <c r="O11" s="30"/>
      <c r="P11" s="30"/>
      <c r="Q11" s="31"/>
      <c r="R11" s="32" t="s">
        <v>28</v>
      </c>
      <c r="S11" s="33"/>
      <c r="T11" s="18"/>
      <c r="U11" s="18"/>
      <c r="V11" s="34"/>
      <c r="W11" s="2"/>
      <c r="X11" s="2"/>
      <c r="Y11" s="2"/>
      <c r="Z11" s="2"/>
      <c r="AA11" s="2"/>
      <c r="AB11" s="2"/>
      <c r="AC11" s="2"/>
      <c r="AD11" s="2"/>
    </row>
    <row r="12" spans="1:30" ht="12" customHeight="1" x14ac:dyDescent="0.3">
      <c r="A12" s="19">
        <v>9</v>
      </c>
      <c r="B12" s="20" t="s">
        <v>36</v>
      </c>
      <c r="C12" s="7"/>
      <c r="D12" s="20"/>
      <c r="E12" s="21">
        <v>1</v>
      </c>
      <c r="F12" s="35">
        <v>0</v>
      </c>
      <c r="G12" s="23">
        <f t="shared" si="0"/>
        <v>0</v>
      </c>
      <c r="H12" s="24">
        <f t="shared" si="1"/>
        <v>0</v>
      </c>
      <c r="I12" s="25">
        <f t="shared" si="2"/>
        <v>0</v>
      </c>
      <c r="J12" s="26">
        <f t="shared" si="3"/>
        <v>0</v>
      </c>
      <c r="K12" s="26">
        <f t="shared" si="4"/>
        <v>0</v>
      </c>
      <c r="L12" s="27">
        <v>0</v>
      </c>
      <c r="M12" s="28">
        <f t="shared" si="5"/>
        <v>0</v>
      </c>
      <c r="N12" s="29" t="e">
        <f t="shared" si="6"/>
        <v>#DIV/0!</v>
      </c>
      <c r="O12" s="30"/>
      <c r="P12" s="30"/>
      <c r="Q12" s="31"/>
      <c r="R12" s="32" t="s">
        <v>28</v>
      </c>
      <c r="S12" s="33"/>
      <c r="T12" s="18"/>
      <c r="U12" s="18"/>
      <c r="V12" s="34"/>
      <c r="W12" s="2"/>
      <c r="X12" s="2"/>
      <c r="Y12" s="2"/>
      <c r="Z12" s="2"/>
      <c r="AA12" s="2"/>
      <c r="AB12" s="2"/>
      <c r="AC12" s="2"/>
      <c r="AD12" s="2"/>
    </row>
    <row r="13" spans="1:30" ht="12" customHeight="1" x14ac:dyDescent="0.3">
      <c r="A13" s="19">
        <v>10</v>
      </c>
      <c r="B13" s="20" t="s">
        <v>37</v>
      </c>
      <c r="C13" s="7"/>
      <c r="D13" s="20"/>
      <c r="E13" s="21">
        <v>1</v>
      </c>
      <c r="F13" s="35">
        <v>0</v>
      </c>
      <c r="G13" s="23">
        <f t="shared" si="0"/>
        <v>0</v>
      </c>
      <c r="H13" s="24">
        <f t="shared" si="1"/>
        <v>0</v>
      </c>
      <c r="I13" s="25">
        <f t="shared" si="2"/>
        <v>0</v>
      </c>
      <c r="J13" s="26">
        <f t="shared" si="3"/>
        <v>0</v>
      </c>
      <c r="K13" s="26">
        <f t="shared" si="4"/>
        <v>0</v>
      </c>
      <c r="L13" s="27">
        <v>0</v>
      </c>
      <c r="M13" s="28">
        <f t="shared" si="5"/>
        <v>0</v>
      </c>
      <c r="N13" s="29" t="e">
        <f t="shared" si="6"/>
        <v>#DIV/0!</v>
      </c>
      <c r="O13" s="30"/>
      <c r="P13" s="30"/>
      <c r="Q13" s="31"/>
      <c r="R13" s="32" t="s">
        <v>28</v>
      </c>
      <c r="S13" s="33"/>
      <c r="T13" s="18"/>
      <c r="U13" s="18"/>
      <c r="V13" s="34"/>
      <c r="W13" s="2"/>
      <c r="X13" s="2"/>
      <c r="Y13" s="2"/>
      <c r="Z13" s="2"/>
      <c r="AA13" s="2"/>
      <c r="AB13" s="2"/>
      <c r="AC13" s="2"/>
      <c r="AD13" s="2"/>
    </row>
    <row r="14" spans="1:30" ht="12" customHeight="1" x14ac:dyDescent="0.3">
      <c r="A14" s="19">
        <v>11</v>
      </c>
      <c r="B14" s="20" t="s">
        <v>38</v>
      </c>
      <c r="C14" s="7"/>
      <c r="D14" s="20"/>
      <c r="E14" s="21">
        <v>1</v>
      </c>
      <c r="F14" s="35">
        <v>0</v>
      </c>
      <c r="G14" s="23">
        <f t="shared" si="0"/>
        <v>0</v>
      </c>
      <c r="H14" s="24">
        <f t="shared" si="1"/>
        <v>0</v>
      </c>
      <c r="I14" s="25">
        <f t="shared" si="2"/>
        <v>0</v>
      </c>
      <c r="J14" s="26">
        <f t="shared" si="3"/>
        <v>0</v>
      </c>
      <c r="K14" s="26">
        <f t="shared" si="4"/>
        <v>0</v>
      </c>
      <c r="L14" s="27">
        <v>0</v>
      </c>
      <c r="M14" s="28">
        <f t="shared" si="5"/>
        <v>0</v>
      </c>
      <c r="N14" s="29" t="e">
        <f t="shared" si="6"/>
        <v>#DIV/0!</v>
      </c>
      <c r="O14" s="30"/>
      <c r="P14" s="30"/>
      <c r="Q14" s="31"/>
      <c r="R14" s="32" t="s">
        <v>28</v>
      </c>
      <c r="S14" s="33"/>
      <c r="T14" s="18"/>
      <c r="U14" s="18"/>
      <c r="V14" s="34"/>
      <c r="W14" s="36"/>
      <c r="X14" s="2"/>
      <c r="Y14" s="2"/>
      <c r="Z14" s="2"/>
      <c r="AA14" s="2"/>
      <c r="AB14" s="2"/>
      <c r="AC14" s="2"/>
      <c r="AD14" s="2"/>
    </row>
    <row r="15" spans="1:30" ht="12" customHeight="1" x14ac:dyDescent="0.3">
      <c r="A15" s="19">
        <v>12</v>
      </c>
      <c r="B15" s="20" t="s">
        <v>39</v>
      </c>
      <c r="C15" s="7"/>
      <c r="D15" s="20"/>
      <c r="E15" s="21">
        <v>1</v>
      </c>
      <c r="F15" s="35">
        <v>0</v>
      </c>
      <c r="G15" s="23">
        <f t="shared" si="0"/>
        <v>0</v>
      </c>
      <c r="H15" s="24">
        <f t="shared" si="1"/>
        <v>0</v>
      </c>
      <c r="I15" s="25">
        <f t="shared" si="2"/>
        <v>0</v>
      </c>
      <c r="J15" s="26">
        <f t="shared" si="3"/>
        <v>0</v>
      </c>
      <c r="K15" s="26">
        <f t="shared" si="4"/>
        <v>0</v>
      </c>
      <c r="L15" s="27">
        <v>0</v>
      </c>
      <c r="M15" s="28">
        <f t="shared" si="5"/>
        <v>0</v>
      </c>
      <c r="N15" s="29" t="e">
        <f t="shared" si="6"/>
        <v>#DIV/0!</v>
      </c>
      <c r="O15" s="30"/>
      <c r="P15" s="30"/>
      <c r="Q15" s="31"/>
      <c r="R15" s="32" t="s">
        <v>28</v>
      </c>
      <c r="S15" s="33"/>
      <c r="T15" s="18"/>
      <c r="U15" s="18"/>
      <c r="V15" s="34"/>
      <c r="W15" s="2"/>
      <c r="X15" s="2"/>
      <c r="Y15" s="2"/>
      <c r="Z15" s="2"/>
      <c r="AA15" s="2"/>
      <c r="AB15" s="2"/>
      <c r="AC15" s="2"/>
      <c r="AD15" s="2"/>
    </row>
    <row r="16" spans="1:30" ht="12" customHeight="1" x14ac:dyDescent="0.3">
      <c r="A16" s="19">
        <v>13</v>
      </c>
      <c r="B16" s="20" t="s">
        <v>40</v>
      </c>
      <c r="C16" s="7"/>
      <c r="D16" s="20"/>
      <c r="E16" s="21">
        <v>1</v>
      </c>
      <c r="F16" s="35">
        <v>0</v>
      </c>
      <c r="G16" s="23">
        <f t="shared" si="0"/>
        <v>0</v>
      </c>
      <c r="H16" s="24">
        <f t="shared" si="1"/>
        <v>0</v>
      </c>
      <c r="I16" s="25">
        <f t="shared" si="2"/>
        <v>0</v>
      </c>
      <c r="J16" s="26">
        <f t="shared" si="3"/>
        <v>0</v>
      </c>
      <c r="K16" s="26">
        <f t="shared" si="4"/>
        <v>0</v>
      </c>
      <c r="L16" s="27">
        <v>0</v>
      </c>
      <c r="M16" s="28">
        <f t="shared" si="5"/>
        <v>0</v>
      </c>
      <c r="N16" s="29" t="e">
        <f t="shared" si="6"/>
        <v>#DIV/0!</v>
      </c>
      <c r="O16" s="30"/>
      <c r="P16" s="30"/>
      <c r="Q16" s="31"/>
      <c r="R16" s="32" t="s">
        <v>28</v>
      </c>
      <c r="S16" s="33"/>
      <c r="T16" s="18"/>
      <c r="U16" s="18"/>
      <c r="V16" s="34"/>
      <c r="W16" s="2"/>
      <c r="X16" s="2"/>
      <c r="Y16" s="2"/>
      <c r="Z16" s="2"/>
      <c r="AA16" s="2"/>
      <c r="AB16" s="2"/>
      <c r="AC16" s="2"/>
      <c r="AD16" s="2"/>
    </row>
    <row r="17" spans="1:30" ht="12" customHeight="1" x14ac:dyDescent="0.3">
      <c r="A17" s="19">
        <v>14</v>
      </c>
      <c r="B17" s="20" t="s">
        <v>41</v>
      </c>
      <c r="C17" s="7"/>
      <c r="D17" s="20"/>
      <c r="E17" s="21">
        <v>1</v>
      </c>
      <c r="F17" s="35">
        <v>0</v>
      </c>
      <c r="G17" s="23">
        <f t="shared" si="0"/>
        <v>0</v>
      </c>
      <c r="H17" s="24">
        <f t="shared" si="1"/>
        <v>0</v>
      </c>
      <c r="I17" s="25">
        <f t="shared" si="2"/>
        <v>0</v>
      </c>
      <c r="J17" s="26">
        <f t="shared" si="3"/>
        <v>0</v>
      </c>
      <c r="K17" s="26">
        <f t="shared" si="4"/>
        <v>0</v>
      </c>
      <c r="L17" s="27">
        <v>0</v>
      </c>
      <c r="M17" s="28">
        <f t="shared" si="5"/>
        <v>0</v>
      </c>
      <c r="N17" s="29" t="e">
        <f t="shared" si="6"/>
        <v>#DIV/0!</v>
      </c>
      <c r="O17" s="30"/>
      <c r="P17" s="30"/>
      <c r="Q17" s="31"/>
      <c r="R17" s="32" t="s">
        <v>28</v>
      </c>
      <c r="S17" s="37"/>
      <c r="T17" s="18"/>
      <c r="U17" s="18"/>
      <c r="V17" s="38"/>
      <c r="W17" s="2"/>
      <c r="X17" s="2"/>
      <c r="Y17" s="2"/>
      <c r="Z17" s="2"/>
      <c r="AA17" s="2"/>
      <c r="AB17" s="2"/>
      <c r="AC17" s="2"/>
      <c r="AD17" s="2"/>
    </row>
    <row r="18" spans="1:30" ht="12" customHeight="1" x14ac:dyDescent="0.3">
      <c r="A18" s="19">
        <v>15</v>
      </c>
      <c r="B18" s="20" t="s">
        <v>42</v>
      </c>
      <c r="C18" s="7"/>
      <c r="D18" s="20"/>
      <c r="E18" s="21">
        <v>1</v>
      </c>
      <c r="F18" s="35">
        <v>0</v>
      </c>
      <c r="G18" s="23">
        <f t="shared" si="0"/>
        <v>0</v>
      </c>
      <c r="H18" s="24">
        <f t="shared" si="1"/>
        <v>0</v>
      </c>
      <c r="I18" s="25">
        <f t="shared" si="2"/>
        <v>0</v>
      </c>
      <c r="J18" s="26">
        <f t="shared" si="3"/>
        <v>0</v>
      </c>
      <c r="K18" s="26">
        <f t="shared" si="4"/>
        <v>0</v>
      </c>
      <c r="L18" s="27">
        <v>0</v>
      </c>
      <c r="M18" s="28">
        <f t="shared" si="5"/>
        <v>0</v>
      </c>
      <c r="N18" s="29" t="e">
        <f t="shared" si="6"/>
        <v>#DIV/0!</v>
      </c>
      <c r="O18" s="30"/>
      <c r="P18" s="30"/>
      <c r="Q18" s="31"/>
      <c r="R18" s="32" t="s">
        <v>28</v>
      </c>
      <c r="S18" s="39"/>
      <c r="T18" s="18"/>
      <c r="U18" s="18"/>
      <c r="V18" s="40"/>
      <c r="W18" s="2"/>
      <c r="X18" s="2"/>
      <c r="Y18" s="2"/>
      <c r="Z18" s="2"/>
      <c r="AA18" s="2"/>
      <c r="AB18" s="2"/>
      <c r="AC18" s="2"/>
      <c r="AD18" s="2"/>
    </row>
    <row r="19" spans="1:30" ht="12" customHeight="1" x14ac:dyDescent="0.3">
      <c r="A19" s="19">
        <v>16</v>
      </c>
      <c r="B19" s="20" t="s">
        <v>43</v>
      </c>
      <c r="C19" s="7"/>
      <c r="D19" s="20"/>
      <c r="E19" s="21">
        <v>1</v>
      </c>
      <c r="F19" s="35">
        <v>0</v>
      </c>
      <c r="G19" s="23">
        <f t="shared" si="0"/>
        <v>0</v>
      </c>
      <c r="H19" s="24">
        <f t="shared" si="1"/>
        <v>0</v>
      </c>
      <c r="I19" s="25">
        <f t="shared" si="2"/>
        <v>0</v>
      </c>
      <c r="J19" s="26">
        <f t="shared" si="3"/>
        <v>0</v>
      </c>
      <c r="K19" s="26">
        <f t="shared" si="4"/>
        <v>0</v>
      </c>
      <c r="L19" s="27">
        <v>0</v>
      </c>
      <c r="M19" s="28">
        <f t="shared" si="5"/>
        <v>0</v>
      </c>
      <c r="N19" s="29" t="e">
        <f t="shared" si="6"/>
        <v>#DIV/0!</v>
      </c>
      <c r="O19" s="30"/>
      <c r="P19" s="30"/>
      <c r="Q19" s="31"/>
      <c r="R19" s="32" t="s">
        <v>28</v>
      </c>
      <c r="S19" s="39"/>
      <c r="T19" s="18"/>
      <c r="U19" s="18"/>
      <c r="V19" s="40"/>
      <c r="W19" s="2"/>
      <c r="X19" s="2"/>
      <c r="Y19" s="2"/>
      <c r="Z19" s="2"/>
      <c r="AA19" s="2"/>
      <c r="AB19" s="2"/>
      <c r="AC19" s="2"/>
      <c r="AD19" s="2"/>
    </row>
    <row r="20" spans="1:30" ht="15" customHeight="1" x14ac:dyDescent="0.3">
      <c r="A20" s="19">
        <v>17</v>
      </c>
      <c r="B20" s="20" t="s">
        <v>44</v>
      </c>
      <c r="C20" s="7"/>
      <c r="D20" s="20"/>
      <c r="E20" s="21">
        <v>1</v>
      </c>
      <c r="F20" s="35">
        <v>0</v>
      </c>
      <c r="G20" s="23">
        <f t="shared" si="0"/>
        <v>0</v>
      </c>
      <c r="H20" s="24">
        <f t="shared" si="1"/>
        <v>0</v>
      </c>
      <c r="I20" s="25">
        <f t="shared" si="2"/>
        <v>0</v>
      </c>
      <c r="J20" s="26">
        <f t="shared" si="3"/>
        <v>0</v>
      </c>
      <c r="K20" s="26">
        <f t="shared" si="4"/>
        <v>0</v>
      </c>
      <c r="L20" s="27">
        <v>0</v>
      </c>
      <c r="M20" s="28">
        <f t="shared" si="5"/>
        <v>0</v>
      </c>
      <c r="N20" s="29" t="e">
        <f t="shared" si="6"/>
        <v>#DIV/0!</v>
      </c>
      <c r="O20" s="30"/>
      <c r="P20" s="30"/>
      <c r="Q20" s="31"/>
      <c r="R20" s="32" t="s">
        <v>28</v>
      </c>
      <c r="S20" s="39"/>
      <c r="T20" s="18"/>
      <c r="U20" s="18"/>
      <c r="V20" s="40"/>
      <c r="W20" s="2"/>
      <c r="X20" s="2"/>
      <c r="Y20" s="2"/>
      <c r="Z20" s="2"/>
      <c r="AA20" s="2"/>
      <c r="AB20" s="2"/>
      <c r="AC20" s="2"/>
      <c r="AD20" s="2"/>
    </row>
    <row r="21" spans="1:30" ht="12" customHeight="1" x14ac:dyDescent="0.3">
      <c r="A21" s="19">
        <v>18</v>
      </c>
      <c r="B21" s="20" t="s">
        <v>45</v>
      </c>
      <c r="C21" s="7"/>
      <c r="D21" s="20"/>
      <c r="E21" s="21">
        <v>1</v>
      </c>
      <c r="F21" s="35">
        <v>0</v>
      </c>
      <c r="G21" s="23">
        <f t="shared" si="0"/>
        <v>0</v>
      </c>
      <c r="H21" s="24">
        <f t="shared" si="1"/>
        <v>0</v>
      </c>
      <c r="I21" s="25">
        <f t="shared" si="2"/>
        <v>0</v>
      </c>
      <c r="J21" s="26">
        <f t="shared" si="3"/>
        <v>0</v>
      </c>
      <c r="K21" s="26">
        <f t="shared" si="4"/>
        <v>0</v>
      </c>
      <c r="L21" s="27">
        <v>0</v>
      </c>
      <c r="M21" s="28">
        <f t="shared" si="5"/>
        <v>0</v>
      </c>
      <c r="N21" s="29" t="e">
        <f t="shared" si="6"/>
        <v>#DIV/0!</v>
      </c>
      <c r="O21" s="30"/>
      <c r="P21" s="30"/>
      <c r="Q21" s="31"/>
      <c r="R21" s="32" t="s">
        <v>28</v>
      </c>
      <c r="S21" s="41"/>
      <c r="T21" s="18"/>
      <c r="U21" s="18"/>
      <c r="V21" s="42"/>
      <c r="W21" s="2"/>
      <c r="X21" s="2"/>
      <c r="Y21" s="2"/>
      <c r="Z21" s="2"/>
      <c r="AA21" s="2"/>
      <c r="AB21" s="2"/>
      <c r="AC21" s="2"/>
      <c r="AD21" s="2"/>
    </row>
    <row r="22" spans="1:30" ht="14.25" customHeight="1" x14ac:dyDescent="0.3">
      <c r="A22" s="19">
        <v>19</v>
      </c>
      <c r="B22" s="20" t="s">
        <v>46</v>
      </c>
      <c r="C22" s="7"/>
      <c r="D22" s="20"/>
      <c r="E22" s="21">
        <v>1</v>
      </c>
      <c r="F22" s="35">
        <v>0</v>
      </c>
      <c r="G22" s="23">
        <f t="shared" si="0"/>
        <v>0</v>
      </c>
      <c r="H22" s="24">
        <f t="shared" si="1"/>
        <v>0</v>
      </c>
      <c r="I22" s="25">
        <f t="shared" si="2"/>
        <v>0</v>
      </c>
      <c r="J22" s="26">
        <f t="shared" si="3"/>
        <v>0</v>
      </c>
      <c r="K22" s="26">
        <f t="shared" si="4"/>
        <v>0</v>
      </c>
      <c r="L22" s="27">
        <v>0</v>
      </c>
      <c r="M22" s="28">
        <f t="shared" si="5"/>
        <v>0</v>
      </c>
      <c r="N22" s="29" t="e">
        <f t="shared" si="6"/>
        <v>#DIV/0!</v>
      </c>
      <c r="O22" s="30"/>
      <c r="P22" s="30"/>
      <c r="Q22" s="31"/>
      <c r="R22" s="32" t="s">
        <v>28</v>
      </c>
      <c r="S22" s="39"/>
      <c r="T22" s="18"/>
      <c r="U22" s="18"/>
      <c r="V22" s="40"/>
      <c r="W22" s="2"/>
      <c r="X22" s="2"/>
      <c r="Y22" s="2"/>
      <c r="Z22" s="2"/>
      <c r="AA22" s="2"/>
      <c r="AB22" s="2"/>
      <c r="AC22" s="2"/>
      <c r="AD22" s="2"/>
    </row>
    <row r="23" spans="1:30" ht="14.25" customHeight="1" x14ac:dyDescent="0.3">
      <c r="A23" s="19">
        <v>20</v>
      </c>
      <c r="B23" s="20" t="s">
        <v>47</v>
      </c>
      <c r="C23" s="7"/>
      <c r="D23" s="20"/>
      <c r="E23" s="21">
        <v>1</v>
      </c>
      <c r="F23" s="35">
        <v>0</v>
      </c>
      <c r="G23" s="23">
        <f t="shared" si="0"/>
        <v>0</v>
      </c>
      <c r="H23" s="24">
        <f t="shared" si="1"/>
        <v>0</v>
      </c>
      <c r="I23" s="25">
        <f t="shared" si="2"/>
        <v>0</v>
      </c>
      <c r="J23" s="26">
        <f t="shared" si="3"/>
        <v>0</v>
      </c>
      <c r="K23" s="26">
        <f t="shared" si="4"/>
        <v>0</v>
      </c>
      <c r="L23" s="27">
        <v>0</v>
      </c>
      <c r="M23" s="28">
        <f t="shared" si="5"/>
        <v>0</v>
      </c>
      <c r="N23" s="29" t="e">
        <f t="shared" si="6"/>
        <v>#DIV/0!</v>
      </c>
      <c r="O23" s="30"/>
      <c r="P23" s="30"/>
      <c r="Q23" s="31"/>
      <c r="R23" s="32" t="s">
        <v>28</v>
      </c>
      <c r="S23" s="39"/>
      <c r="T23" s="18"/>
      <c r="U23" s="18"/>
      <c r="V23" s="40"/>
      <c r="W23" s="2"/>
      <c r="X23" s="2"/>
      <c r="Y23" s="2"/>
      <c r="Z23" s="2"/>
      <c r="AA23" s="2"/>
      <c r="AB23" s="2"/>
      <c r="AC23" s="2"/>
      <c r="AD23" s="2"/>
    </row>
    <row r="24" spans="1:30" ht="12" customHeight="1" x14ac:dyDescent="0.3">
      <c r="A24" s="2"/>
      <c r="B24" s="3"/>
      <c r="D24" s="3"/>
      <c r="E24" s="43">
        <f>SUM(E4:E23)</f>
        <v>20</v>
      </c>
      <c r="F24" s="18" t="b">
        <f>K24&lt;K26</f>
        <v>1</v>
      </c>
      <c r="G24" s="44"/>
      <c r="H24" s="24">
        <f>SUM(H4:H23)</f>
        <v>0</v>
      </c>
      <c r="I24" s="45"/>
      <c r="J24" s="45"/>
      <c r="K24" s="26">
        <f>SUM(K4:K23)</f>
        <v>0</v>
      </c>
      <c r="L24" s="44"/>
      <c r="M24" s="46">
        <f>SUM(M4:M23)</f>
        <v>0</v>
      </c>
      <c r="N24" s="47" t="e">
        <f>AVERAGE(N4:N23)</f>
        <v>#DIV/0!</v>
      </c>
      <c r="O24" s="48"/>
      <c r="P24" s="2"/>
      <c r="Q24" s="2"/>
      <c r="R24" s="2"/>
      <c r="S24" s="5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ht="12" customHeight="1" x14ac:dyDescent="0.3">
      <c r="A25" s="2"/>
      <c r="B25" s="3"/>
      <c r="D25" s="3"/>
      <c r="E25" s="2"/>
      <c r="F25" s="49">
        <f>H24</f>
        <v>0</v>
      </c>
      <c r="G25" s="2"/>
      <c r="H25" s="50"/>
      <c r="I25" s="51"/>
      <c r="J25" s="51"/>
      <c r="K25" s="52"/>
      <c r="L25" s="53"/>
      <c r="M25" s="2"/>
      <c r="N25" s="2"/>
      <c r="O25" s="2"/>
      <c r="P25" s="2"/>
      <c r="Q25" s="2"/>
      <c r="R25" s="2"/>
      <c r="S25" s="5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ht="12" customHeight="1" x14ac:dyDescent="0.3">
      <c r="A26" s="2"/>
      <c r="B26" s="3"/>
      <c r="D26" s="3"/>
      <c r="E26" s="2"/>
      <c r="F26" s="54">
        <f>K24</f>
        <v>0</v>
      </c>
      <c r="G26" s="2"/>
      <c r="H26" s="55"/>
      <c r="I26" s="56" t="s">
        <v>48</v>
      </c>
      <c r="J26" s="57" t="s">
        <v>49</v>
      </c>
      <c r="K26" s="56">
        <f>F27/1.19</f>
        <v>4201680.6722689075</v>
      </c>
      <c r="L26" s="53"/>
      <c r="M26" s="2"/>
      <c r="N26" s="2"/>
      <c r="O26" s="2"/>
      <c r="P26" s="2"/>
      <c r="Q26" s="2"/>
      <c r="R26" s="2"/>
      <c r="S26" s="5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ht="12" customHeight="1" x14ac:dyDescent="0.3">
      <c r="A27" s="2"/>
      <c r="B27" s="3"/>
      <c r="D27" s="107" t="s">
        <v>50</v>
      </c>
      <c r="E27" s="108"/>
      <c r="F27" s="58">
        <v>5000000</v>
      </c>
      <c r="G27" s="2"/>
      <c r="H27" s="59"/>
      <c r="I27" s="2"/>
      <c r="J27" s="3"/>
      <c r="K27" s="53"/>
      <c r="L27" s="53"/>
      <c r="M27" s="2"/>
      <c r="N27" s="2"/>
      <c r="O27" s="2"/>
      <c r="P27" s="2"/>
      <c r="Q27" s="2"/>
      <c r="R27" s="2"/>
      <c r="S27" s="5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ht="12" customHeight="1" x14ac:dyDescent="0.3">
      <c r="A28" s="2"/>
      <c r="B28" s="3"/>
      <c r="D28" s="3"/>
      <c r="E28" s="2"/>
      <c r="F28" s="59"/>
      <c r="G28" s="2"/>
      <c r="H28" s="54">
        <f>K28*1.19</f>
        <v>0</v>
      </c>
      <c r="I28" s="60" t="s">
        <v>51</v>
      </c>
      <c r="J28" s="61" t="s">
        <v>52</v>
      </c>
      <c r="K28" s="60">
        <f>K24</f>
        <v>0</v>
      </c>
      <c r="L28" s="53"/>
      <c r="M28" s="62" t="s">
        <v>52</v>
      </c>
      <c r="N28" s="60">
        <f>K24</f>
        <v>0</v>
      </c>
      <c r="P28" s="2"/>
      <c r="Q28" s="2"/>
      <c r="R28" s="2"/>
      <c r="S28" s="5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ht="12" customHeight="1" x14ac:dyDescent="0.3">
      <c r="A29" s="2"/>
      <c r="B29" s="5"/>
      <c r="D29" s="5"/>
      <c r="E29" s="2"/>
      <c r="F29" s="59"/>
      <c r="G29" s="2"/>
      <c r="H29" s="54">
        <f>K28*19%</f>
        <v>0</v>
      </c>
      <c r="I29" s="60" t="s">
        <v>53</v>
      </c>
      <c r="J29" s="63" t="s">
        <v>54</v>
      </c>
      <c r="K29" s="64">
        <f>H24</f>
        <v>0</v>
      </c>
      <c r="L29" s="53"/>
      <c r="M29" s="65" t="s">
        <v>55</v>
      </c>
      <c r="N29" s="65">
        <f>M24</f>
        <v>0</v>
      </c>
      <c r="P29" s="2"/>
      <c r="Q29" s="2"/>
      <c r="R29" s="2"/>
      <c r="S29" s="5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ht="12" customHeight="1" x14ac:dyDescent="0.3">
      <c r="A30" s="2"/>
      <c r="B30" s="5"/>
      <c r="D30" s="5"/>
      <c r="E30" s="2"/>
      <c r="F30" s="2"/>
      <c r="G30" s="2"/>
      <c r="H30" s="59"/>
      <c r="I30" s="2"/>
      <c r="J30" s="66" t="s">
        <v>56</v>
      </c>
      <c r="K30" s="67">
        <f>K28-K29</f>
        <v>0</v>
      </c>
      <c r="L30" s="53"/>
      <c r="M30" s="67" t="s">
        <v>57</v>
      </c>
      <c r="N30" s="67">
        <f>N28-N29</f>
        <v>0</v>
      </c>
      <c r="P30" s="2"/>
      <c r="Q30" s="2"/>
      <c r="R30" s="2"/>
      <c r="S30" s="5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ht="12" customHeight="1" x14ac:dyDescent="0.3">
      <c r="A31" s="2"/>
      <c r="B31" s="5"/>
      <c r="D31" s="5"/>
      <c r="E31" s="2"/>
      <c r="F31" s="2"/>
      <c r="G31" s="2"/>
      <c r="H31" s="2"/>
      <c r="I31" s="2"/>
      <c r="J31" s="3" t="s">
        <v>58</v>
      </c>
      <c r="K31" s="68" t="e">
        <f>1-(K29/K28)</f>
        <v>#DIV/0!</v>
      </c>
      <c r="L31" s="53"/>
      <c r="M31" s="3" t="s">
        <v>58</v>
      </c>
      <c r="N31" s="68" t="e">
        <f>1-(N29/N28)</f>
        <v>#DIV/0!</v>
      </c>
      <c r="P31" s="2"/>
      <c r="Q31" s="2"/>
      <c r="R31" s="2"/>
      <c r="S31" s="5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ht="12" customHeight="1" x14ac:dyDescent="0.3">
      <c r="A32" s="2"/>
      <c r="B32" s="5"/>
      <c r="D32" s="5"/>
      <c r="E32" s="2"/>
      <c r="F32" s="2"/>
      <c r="G32" s="2"/>
      <c r="H32" s="2"/>
      <c r="I32" s="2"/>
      <c r="J32" s="3" t="s">
        <v>59</v>
      </c>
      <c r="K32" s="68">
        <f>1-(K28/K26)</f>
        <v>1</v>
      </c>
      <c r="L32" s="53"/>
      <c r="M32" s="2" t="s">
        <v>60</v>
      </c>
      <c r="N32" s="68">
        <f>M24</f>
        <v>0</v>
      </c>
      <c r="O32" s="2"/>
      <c r="P32" s="2"/>
      <c r="Q32" s="2"/>
      <c r="R32" s="2"/>
      <c r="S32" s="5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ht="12" customHeight="1" x14ac:dyDescent="0.3">
      <c r="A33" s="2"/>
      <c r="B33" s="5"/>
      <c r="D33" s="5"/>
      <c r="E33" s="2"/>
      <c r="F33" s="2"/>
      <c r="G33" s="2"/>
      <c r="H33" s="2"/>
      <c r="I33" s="2"/>
      <c r="J33" s="3"/>
      <c r="K33" s="53"/>
      <c r="L33" s="53"/>
      <c r="M33" s="2"/>
      <c r="N33" s="2"/>
      <c r="O33" s="2"/>
      <c r="P33" s="2"/>
      <c r="Q33" s="2"/>
      <c r="R33" s="2"/>
      <c r="S33" s="5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ht="12" customHeight="1" x14ac:dyDescent="0.3">
      <c r="A34" s="2"/>
      <c r="B34" s="3"/>
      <c r="D34" s="3"/>
      <c r="E34" s="2"/>
      <c r="F34" s="2"/>
      <c r="G34" s="2"/>
      <c r="H34" s="2"/>
      <c r="I34" s="2"/>
      <c r="J34" s="3"/>
      <c r="K34" s="53"/>
      <c r="L34" s="53"/>
      <c r="M34" s="2"/>
      <c r="N34" s="2"/>
      <c r="O34" s="2"/>
      <c r="P34" s="2"/>
      <c r="Q34" s="2"/>
      <c r="R34" s="2"/>
      <c r="S34" s="5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ht="12" customHeight="1" x14ac:dyDescent="0.3">
      <c r="A35" s="2"/>
      <c r="B35" s="3"/>
      <c r="D35" s="3"/>
      <c r="E35" s="2"/>
      <c r="F35" s="2"/>
      <c r="G35" s="2"/>
      <c r="H35" s="2"/>
      <c r="I35" s="2"/>
      <c r="J35" s="3"/>
      <c r="K35" s="53"/>
      <c r="L35" s="53"/>
      <c r="M35" s="2"/>
      <c r="N35" s="2"/>
      <c r="O35" s="2"/>
      <c r="P35" s="2"/>
      <c r="Q35" s="2"/>
      <c r="R35" s="2"/>
      <c r="S35" s="5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ht="12" customHeight="1" x14ac:dyDescent="0.3">
      <c r="A36" s="2"/>
      <c r="B36" s="3"/>
      <c r="D36" s="3"/>
      <c r="E36" s="2"/>
      <c r="F36" s="2"/>
      <c r="G36" s="2"/>
      <c r="H36" s="2"/>
      <c r="I36" s="2"/>
      <c r="J36" s="3"/>
      <c r="K36" s="53"/>
      <c r="L36" s="53"/>
      <c r="M36" s="2"/>
      <c r="N36" s="2"/>
      <c r="O36" s="2"/>
      <c r="P36" s="2"/>
      <c r="Q36" s="2"/>
      <c r="R36" s="2"/>
      <c r="S36" s="5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ht="12" customHeight="1" x14ac:dyDescent="0.3">
      <c r="A37" s="2"/>
      <c r="B37" s="3"/>
      <c r="D37" s="3"/>
      <c r="E37" s="2"/>
      <c r="F37" s="2"/>
      <c r="G37" s="2"/>
      <c r="H37" s="2"/>
      <c r="I37" s="2"/>
      <c r="J37" s="3"/>
      <c r="K37" s="53"/>
      <c r="L37" s="53"/>
      <c r="M37" s="2"/>
      <c r="N37" s="2"/>
      <c r="O37" s="2"/>
      <c r="P37" s="2"/>
      <c r="Q37" s="2"/>
      <c r="R37" s="2"/>
      <c r="S37" s="5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ht="12" customHeight="1" x14ac:dyDescent="0.3">
      <c r="A38" s="2"/>
      <c r="B38" s="3"/>
      <c r="D38" s="3"/>
      <c r="E38" s="2"/>
      <c r="F38" s="2"/>
      <c r="G38" s="2"/>
      <c r="H38" s="2"/>
      <c r="I38" s="2"/>
      <c r="J38" s="3"/>
      <c r="K38" s="53"/>
      <c r="L38" s="53"/>
      <c r="M38" s="2"/>
      <c r="N38" s="2"/>
      <c r="O38" s="2"/>
      <c r="P38" s="2"/>
      <c r="Q38" s="2"/>
      <c r="R38" s="2"/>
      <c r="S38" s="5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ht="12" customHeight="1" x14ac:dyDescent="0.3">
      <c r="A39" s="2"/>
      <c r="B39" s="3"/>
      <c r="D39" s="3"/>
      <c r="E39" s="2"/>
      <c r="F39" s="2"/>
      <c r="G39" s="2"/>
      <c r="H39" s="2"/>
      <c r="I39" s="2"/>
      <c r="J39" s="3"/>
      <c r="K39" s="53"/>
      <c r="L39" s="53"/>
      <c r="M39" s="2"/>
      <c r="N39" s="2"/>
      <c r="O39" s="2"/>
      <c r="P39" s="2"/>
      <c r="Q39" s="2"/>
      <c r="R39" s="2"/>
      <c r="S39" s="5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ht="12" customHeight="1" x14ac:dyDescent="0.3">
      <c r="A40" s="2"/>
      <c r="B40" s="3"/>
      <c r="D40" s="3"/>
      <c r="E40" s="2"/>
      <c r="F40" s="2"/>
      <c r="G40" s="2"/>
      <c r="H40" s="2"/>
      <c r="I40" s="2"/>
      <c r="J40" s="3"/>
      <c r="K40" s="53"/>
      <c r="L40" s="53"/>
      <c r="M40" s="2"/>
      <c r="N40" s="2"/>
      <c r="O40" s="2"/>
      <c r="P40" s="2"/>
      <c r="Q40" s="2"/>
      <c r="R40" s="2"/>
      <c r="S40" s="5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ht="12" customHeight="1" x14ac:dyDescent="0.3">
      <c r="A41" s="2"/>
      <c r="B41" s="3"/>
      <c r="D41" s="3"/>
      <c r="E41" s="2"/>
      <c r="F41" s="2"/>
      <c r="G41" s="2"/>
      <c r="H41" s="2"/>
      <c r="I41" s="2"/>
      <c r="J41" s="69"/>
      <c r="K41" s="70"/>
      <c r="L41" s="70"/>
      <c r="M41" s="2"/>
      <c r="N41" s="2"/>
      <c r="O41" s="2"/>
      <c r="P41" s="2"/>
      <c r="Q41" s="2"/>
      <c r="R41" s="2"/>
      <c r="S41" s="5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ht="12" customHeight="1" x14ac:dyDescent="0.3">
      <c r="A42" s="2"/>
      <c r="B42" s="3"/>
      <c r="D42" s="3"/>
      <c r="E42" s="2"/>
      <c r="F42" s="2"/>
      <c r="G42" s="2"/>
      <c r="H42" s="2"/>
      <c r="I42" s="2"/>
      <c r="J42" s="69"/>
      <c r="K42" s="70"/>
      <c r="L42" s="70"/>
      <c r="M42" s="2"/>
      <c r="N42" s="2"/>
      <c r="O42" s="2"/>
      <c r="P42" s="2"/>
      <c r="Q42" s="2"/>
      <c r="R42" s="2"/>
      <c r="S42" s="5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ht="12" customHeight="1" x14ac:dyDescent="0.3">
      <c r="A43" s="2"/>
      <c r="B43" s="3"/>
      <c r="D43" s="3"/>
      <c r="E43" s="2"/>
      <c r="F43" s="2"/>
      <c r="G43" s="2"/>
      <c r="H43" s="2"/>
      <c r="I43" s="2"/>
      <c r="J43" s="69"/>
      <c r="K43" s="70"/>
      <c r="L43" s="70"/>
      <c r="M43" s="2"/>
      <c r="N43" s="2"/>
      <c r="O43" s="2"/>
      <c r="P43" s="2"/>
      <c r="Q43" s="2"/>
      <c r="R43" s="2"/>
      <c r="S43" s="5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ht="12" customHeight="1" x14ac:dyDescent="0.3">
      <c r="A44" s="2"/>
      <c r="B44" s="3"/>
      <c r="D44" s="3"/>
      <c r="E44" s="2"/>
      <c r="F44" s="2"/>
      <c r="G44" s="2"/>
      <c r="H44" s="2"/>
      <c r="I44" s="2"/>
      <c r="J44" s="69"/>
      <c r="K44" s="70"/>
      <c r="L44" s="70"/>
      <c r="M44" s="2"/>
      <c r="N44" s="2"/>
      <c r="O44" s="2"/>
      <c r="P44" s="2"/>
      <c r="Q44" s="2"/>
      <c r="R44" s="2"/>
      <c r="S44" s="5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ht="12" customHeight="1" x14ac:dyDescent="0.3">
      <c r="A45" s="2"/>
      <c r="B45" s="3"/>
      <c r="D45" s="3"/>
      <c r="E45" s="2"/>
      <c r="F45" s="2"/>
      <c r="G45" s="2"/>
      <c r="H45" s="2"/>
      <c r="I45" s="2"/>
      <c r="J45" s="69"/>
      <c r="K45" s="70"/>
      <c r="L45" s="70"/>
      <c r="M45" s="2"/>
      <c r="N45" s="2"/>
      <c r="O45" s="2"/>
      <c r="P45" s="2"/>
      <c r="Q45" s="2"/>
      <c r="R45" s="2"/>
      <c r="S45" s="5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ht="12" customHeight="1" x14ac:dyDescent="0.3">
      <c r="A46" s="2"/>
      <c r="B46" s="3"/>
      <c r="D46" s="3"/>
      <c r="E46" s="2"/>
      <c r="F46" s="2"/>
      <c r="G46" s="2"/>
      <c r="H46" s="2"/>
      <c r="I46" s="2"/>
      <c r="J46" s="69"/>
      <c r="K46" s="70"/>
      <c r="L46" s="70"/>
      <c r="M46" s="2"/>
      <c r="N46" s="2"/>
      <c r="O46" s="2"/>
      <c r="P46" s="2"/>
      <c r="Q46" s="2"/>
      <c r="R46" s="2"/>
      <c r="S46" s="5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2" customHeight="1" x14ac:dyDescent="0.3">
      <c r="A47" s="2"/>
      <c r="B47" s="3"/>
      <c r="D47" s="3"/>
      <c r="E47" s="2"/>
      <c r="F47" s="2"/>
      <c r="G47" s="2"/>
      <c r="H47" s="2"/>
      <c r="I47" s="2"/>
      <c r="J47" s="69"/>
      <c r="K47" s="70"/>
      <c r="L47" s="70"/>
      <c r="M47" s="2"/>
      <c r="N47" s="2"/>
      <c r="O47" s="2"/>
      <c r="P47" s="2"/>
      <c r="Q47" s="2"/>
      <c r="R47" s="2"/>
      <c r="S47" s="5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ht="12" customHeight="1" x14ac:dyDescent="0.3">
      <c r="A48" s="2"/>
      <c r="B48" s="3"/>
      <c r="D48" s="3"/>
      <c r="E48" s="2"/>
      <c r="F48" s="2"/>
      <c r="G48" s="2"/>
      <c r="H48" s="2"/>
      <c r="I48" s="2"/>
      <c r="J48" s="69"/>
      <c r="K48" s="70"/>
      <c r="L48" s="70"/>
      <c r="M48" s="2"/>
      <c r="N48" s="2"/>
      <c r="O48" s="2"/>
      <c r="P48" s="2"/>
      <c r="Q48" s="2"/>
      <c r="R48" s="2"/>
      <c r="S48" s="5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ht="12" customHeight="1" x14ac:dyDescent="0.3">
      <c r="A49" s="2"/>
      <c r="B49" s="3"/>
      <c r="D49" s="3"/>
      <c r="E49" s="2"/>
      <c r="F49" s="2"/>
      <c r="G49" s="2"/>
      <c r="H49" s="2"/>
      <c r="I49" s="2"/>
      <c r="J49" s="69"/>
      <c r="K49" s="70"/>
      <c r="L49" s="70"/>
      <c r="M49" s="2"/>
      <c r="N49" s="2"/>
      <c r="O49" s="2"/>
      <c r="P49" s="2"/>
      <c r="Q49" s="2"/>
      <c r="R49" s="2"/>
      <c r="S49" s="5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ht="12" customHeight="1" x14ac:dyDescent="0.3">
      <c r="A50" s="2"/>
      <c r="B50" s="3"/>
      <c r="D50" s="3"/>
      <c r="E50" s="2"/>
      <c r="F50" s="2"/>
      <c r="G50" s="2"/>
      <c r="H50" s="2"/>
      <c r="I50" s="2"/>
      <c r="J50" s="69"/>
      <c r="K50" s="70"/>
      <c r="L50" s="70"/>
      <c r="M50" s="2"/>
      <c r="N50" s="2"/>
      <c r="O50" s="2"/>
      <c r="P50" s="2"/>
      <c r="Q50" s="2"/>
      <c r="R50" s="2"/>
      <c r="S50" s="5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ht="12" customHeight="1" x14ac:dyDescent="0.3">
      <c r="A51" s="2"/>
      <c r="B51" s="3"/>
      <c r="D51" s="3"/>
      <c r="E51" s="2"/>
      <c r="F51" s="2"/>
      <c r="G51" s="2"/>
      <c r="H51" s="2"/>
      <c r="I51" s="2"/>
      <c r="J51" s="69"/>
      <c r="K51" s="70"/>
      <c r="L51" s="70"/>
      <c r="M51" s="2"/>
      <c r="N51" s="2"/>
      <c r="O51" s="2"/>
      <c r="P51" s="2"/>
      <c r="Q51" s="2"/>
      <c r="R51" s="2"/>
      <c r="S51" s="5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ht="12" customHeight="1" x14ac:dyDescent="0.3">
      <c r="A52" s="2"/>
      <c r="B52" s="3"/>
      <c r="D52" s="3"/>
      <c r="E52" s="2"/>
      <c r="F52" s="2"/>
      <c r="G52" s="2"/>
      <c r="H52" s="2"/>
      <c r="I52" s="2"/>
      <c r="J52" s="69"/>
      <c r="K52" s="70"/>
      <c r="L52" s="70"/>
      <c r="M52" s="2"/>
      <c r="N52" s="2"/>
      <c r="O52" s="2"/>
      <c r="P52" s="2"/>
      <c r="Q52" s="2"/>
      <c r="R52" s="2"/>
      <c r="S52" s="5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ht="12" customHeight="1" x14ac:dyDescent="0.3">
      <c r="A53" s="2"/>
      <c r="B53" s="3"/>
      <c r="D53" s="3"/>
      <c r="E53" s="2"/>
      <c r="F53" s="2"/>
      <c r="G53" s="2"/>
      <c r="H53" s="2"/>
      <c r="I53" s="2"/>
      <c r="J53" s="69"/>
      <c r="K53" s="70"/>
      <c r="L53" s="70"/>
      <c r="M53" s="2"/>
      <c r="N53" s="2"/>
      <c r="O53" s="2"/>
      <c r="P53" s="2"/>
      <c r="Q53" s="2"/>
      <c r="R53" s="2"/>
      <c r="S53" s="5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ht="12" customHeight="1" x14ac:dyDescent="0.3">
      <c r="A54" s="2"/>
      <c r="B54" s="3"/>
      <c r="D54" s="3"/>
      <c r="E54" s="2"/>
      <c r="F54" s="2"/>
      <c r="G54" s="2"/>
      <c r="H54" s="2"/>
      <c r="I54" s="2"/>
      <c r="J54" s="69"/>
      <c r="K54" s="70"/>
      <c r="L54" s="70"/>
      <c r="M54" s="2"/>
      <c r="N54" s="2"/>
      <c r="O54" s="2"/>
      <c r="P54" s="2"/>
      <c r="Q54" s="2"/>
      <c r="R54" s="2"/>
      <c r="S54" s="5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ht="12" customHeight="1" x14ac:dyDescent="0.3">
      <c r="A55" s="2"/>
      <c r="B55" s="3"/>
      <c r="D55" s="3"/>
      <c r="E55" s="2"/>
      <c r="F55" s="2"/>
      <c r="G55" s="2"/>
      <c r="H55" s="2"/>
      <c r="I55" s="2"/>
      <c r="J55" s="69"/>
      <c r="K55" s="70"/>
      <c r="L55" s="70"/>
      <c r="M55" s="2"/>
      <c r="N55" s="2"/>
      <c r="O55" s="2"/>
      <c r="P55" s="2"/>
      <c r="Q55" s="2"/>
      <c r="R55" s="2"/>
      <c r="S55" s="5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ht="12" customHeight="1" x14ac:dyDescent="0.3">
      <c r="A56" s="2"/>
      <c r="B56" s="3"/>
      <c r="D56" s="3"/>
      <c r="E56" s="2"/>
      <c r="F56" s="2"/>
      <c r="G56" s="2"/>
      <c r="H56" s="2"/>
      <c r="I56" s="2"/>
      <c r="J56" s="69"/>
      <c r="K56" s="70"/>
      <c r="L56" s="70"/>
      <c r="M56" s="2"/>
      <c r="N56" s="2"/>
      <c r="O56" s="2"/>
      <c r="P56" s="2"/>
      <c r="Q56" s="2"/>
      <c r="R56" s="2"/>
      <c r="S56" s="5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ht="12" customHeight="1" x14ac:dyDescent="0.3">
      <c r="A57" s="2"/>
      <c r="B57" s="3"/>
      <c r="D57" s="3"/>
      <c r="E57" s="2"/>
      <c r="F57" s="2"/>
      <c r="G57" s="2"/>
      <c r="H57" s="2"/>
      <c r="I57" s="2"/>
      <c r="J57" s="69"/>
      <c r="K57" s="70"/>
      <c r="L57" s="70"/>
      <c r="M57" s="2"/>
      <c r="N57" s="2"/>
      <c r="O57" s="2"/>
      <c r="P57" s="2"/>
      <c r="Q57" s="2"/>
      <c r="R57" s="2"/>
      <c r="S57" s="5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ht="12" customHeight="1" x14ac:dyDescent="0.3">
      <c r="A58" s="2"/>
      <c r="B58" s="3"/>
      <c r="D58" s="3"/>
      <c r="E58" s="2"/>
      <c r="F58" s="2"/>
      <c r="G58" s="2"/>
      <c r="H58" s="2"/>
      <c r="I58" s="2"/>
      <c r="J58" s="69"/>
      <c r="K58" s="70"/>
      <c r="L58" s="70"/>
      <c r="M58" s="2"/>
      <c r="N58" s="2"/>
      <c r="O58" s="2"/>
      <c r="P58" s="2"/>
      <c r="Q58" s="2"/>
      <c r="R58" s="2"/>
      <c r="S58" s="5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ht="12" customHeight="1" x14ac:dyDescent="0.3">
      <c r="A59" s="2"/>
      <c r="B59" s="3"/>
      <c r="D59" s="3"/>
      <c r="E59" s="2"/>
      <c r="F59" s="2"/>
      <c r="G59" s="2"/>
      <c r="H59" s="2"/>
      <c r="I59" s="2"/>
      <c r="J59" s="69"/>
      <c r="K59" s="70"/>
      <c r="L59" s="70"/>
      <c r="M59" s="2"/>
      <c r="N59" s="2"/>
      <c r="O59" s="2"/>
      <c r="P59" s="2"/>
      <c r="Q59" s="2"/>
      <c r="R59" s="2"/>
      <c r="S59" s="5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ht="12" customHeight="1" x14ac:dyDescent="0.3">
      <c r="A60" s="2"/>
      <c r="B60" s="3"/>
      <c r="D60" s="3"/>
      <c r="E60" s="2"/>
      <c r="F60" s="2"/>
      <c r="G60" s="2"/>
      <c r="H60" s="2"/>
      <c r="I60" s="2"/>
      <c r="J60" s="69"/>
      <c r="K60" s="70"/>
      <c r="L60" s="70"/>
      <c r="M60" s="2"/>
      <c r="N60" s="2"/>
      <c r="O60" s="2"/>
      <c r="P60" s="2"/>
      <c r="Q60" s="2"/>
      <c r="R60" s="2"/>
      <c r="S60" s="5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ht="12" customHeight="1" x14ac:dyDescent="0.3">
      <c r="A61" s="2"/>
      <c r="B61" s="3"/>
      <c r="D61" s="3"/>
      <c r="E61" s="2"/>
      <c r="F61" s="2"/>
      <c r="G61" s="2"/>
      <c r="H61" s="2"/>
      <c r="I61" s="2"/>
      <c r="J61" s="69"/>
      <c r="K61" s="70"/>
      <c r="L61" s="70"/>
      <c r="M61" s="2"/>
      <c r="N61" s="2"/>
      <c r="O61" s="2"/>
      <c r="P61" s="2"/>
      <c r="Q61" s="2"/>
      <c r="R61" s="2"/>
      <c r="S61" s="5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ht="12" customHeight="1" x14ac:dyDescent="0.3">
      <c r="A62" s="2"/>
      <c r="B62" s="3"/>
      <c r="D62" s="3"/>
      <c r="E62" s="2"/>
      <c r="F62" s="2"/>
      <c r="G62" s="2"/>
      <c r="H62" s="2"/>
      <c r="I62" s="2"/>
      <c r="J62" s="69"/>
      <c r="K62" s="70"/>
      <c r="L62" s="70"/>
      <c r="M62" s="2"/>
      <c r="N62" s="2"/>
      <c r="O62" s="2"/>
      <c r="P62" s="2"/>
      <c r="Q62" s="2"/>
      <c r="R62" s="2"/>
      <c r="S62" s="5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ht="12" customHeight="1" x14ac:dyDescent="0.3">
      <c r="A63" s="2"/>
      <c r="B63" s="3"/>
      <c r="D63" s="3"/>
      <c r="E63" s="2"/>
      <c r="F63" s="2"/>
      <c r="G63" s="2"/>
      <c r="H63" s="2"/>
      <c r="I63" s="2"/>
      <c r="J63" s="69"/>
      <c r="K63" s="70"/>
      <c r="L63" s="70"/>
      <c r="M63" s="2"/>
      <c r="N63" s="2"/>
      <c r="O63" s="2"/>
      <c r="P63" s="2"/>
      <c r="Q63" s="2"/>
      <c r="R63" s="2"/>
      <c r="S63" s="5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ht="12" customHeight="1" x14ac:dyDescent="0.3">
      <c r="A64" s="2"/>
      <c r="B64" s="3"/>
      <c r="D64" s="3"/>
      <c r="E64" s="2"/>
      <c r="F64" s="2"/>
      <c r="G64" s="2"/>
      <c r="H64" s="2"/>
      <c r="I64" s="2"/>
      <c r="J64" s="69"/>
      <c r="K64" s="70"/>
      <c r="L64" s="70"/>
      <c r="M64" s="2"/>
      <c r="N64" s="2"/>
      <c r="O64" s="2"/>
      <c r="P64" s="2"/>
      <c r="Q64" s="2"/>
      <c r="R64" s="2"/>
      <c r="S64" s="5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ht="12" customHeight="1" x14ac:dyDescent="0.3">
      <c r="A65" s="2"/>
      <c r="B65" s="3"/>
      <c r="D65" s="3"/>
      <c r="E65" s="2"/>
      <c r="F65" s="2"/>
      <c r="G65" s="2"/>
      <c r="H65" s="2"/>
      <c r="I65" s="2"/>
      <c r="J65" s="69"/>
      <c r="K65" s="70"/>
      <c r="L65" s="70"/>
      <c r="M65" s="2"/>
      <c r="N65" s="2"/>
      <c r="O65" s="2"/>
      <c r="P65" s="2"/>
      <c r="Q65" s="2"/>
      <c r="R65" s="2"/>
      <c r="S65" s="5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ht="12" customHeight="1" x14ac:dyDescent="0.3">
      <c r="A66" s="2"/>
      <c r="B66" s="3"/>
      <c r="D66" s="3"/>
      <c r="E66" s="2"/>
      <c r="F66" s="2"/>
      <c r="G66" s="2"/>
      <c r="H66" s="2"/>
      <c r="I66" s="2"/>
      <c r="J66" s="69"/>
      <c r="K66" s="70"/>
      <c r="L66" s="70"/>
      <c r="M66" s="2"/>
      <c r="N66" s="2"/>
      <c r="O66" s="2"/>
      <c r="P66" s="2"/>
      <c r="Q66" s="2"/>
      <c r="R66" s="2"/>
      <c r="S66" s="5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ht="12" customHeight="1" x14ac:dyDescent="0.3">
      <c r="A67" s="2"/>
      <c r="B67" s="3"/>
      <c r="D67" s="3"/>
      <c r="E67" s="2"/>
      <c r="F67" s="2"/>
      <c r="G67" s="2"/>
      <c r="H67" s="2"/>
      <c r="I67" s="2"/>
      <c r="J67" s="69"/>
      <c r="K67" s="70"/>
      <c r="L67" s="70"/>
      <c r="M67" s="2"/>
      <c r="N67" s="2"/>
      <c r="O67" s="2"/>
      <c r="P67" s="2"/>
      <c r="Q67" s="2"/>
      <c r="R67" s="2"/>
      <c r="S67" s="5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ht="12" customHeight="1" x14ac:dyDescent="0.3">
      <c r="A68" s="2"/>
      <c r="B68" s="3"/>
      <c r="D68" s="3"/>
      <c r="E68" s="2"/>
      <c r="F68" s="2"/>
      <c r="G68" s="2"/>
      <c r="H68" s="2"/>
      <c r="I68" s="2"/>
      <c r="J68" s="69"/>
      <c r="K68" s="70"/>
      <c r="L68" s="70"/>
      <c r="M68" s="2"/>
      <c r="N68" s="2"/>
      <c r="O68" s="2"/>
      <c r="P68" s="2"/>
      <c r="Q68" s="2"/>
      <c r="R68" s="2"/>
      <c r="S68" s="5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ht="12" customHeight="1" x14ac:dyDescent="0.3">
      <c r="A69" s="2"/>
      <c r="B69" s="3"/>
      <c r="D69" s="3"/>
      <c r="E69" s="2"/>
      <c r="F69" s="2"/>
      <c r="G69" s="2"/>
      <c r="H69" s="2"/>
      <c r="I69" s="2"/>
      <c r="J69" s="69"/>
      <c r="K69" s="70"/>
      <c r="L69" s="70"/>
      <c r="M69" s="2"/>
      <c r="N69" s="2"/>
      <c r="O69" s="2"/>
      <c r="P69" s="2"/>
      <c r="Q69" s="2"/>
      <c r="R69" s="2"/>
      <c r="S69" s="5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ht="12" customHeight="1" x14ac:dyDescent="0.3">
      <c r="A70" s="2"/>
      <c r="B70" s="3"/>
      <c r="D70" s="3"/>
      <c r="E70" s="2"/>
      <c r="F70" s="2"/>
      <c r="G70" s="2"/>
      <c r="H70" s="2"/>
      <c r="I70" s="2"/>
      <c r="J70" s="69"/>
      <c r="K70" s="70"/>
      <c r="L70" s="70"/>
      <c r="M70" s="2"/>
      <c r="N70" s="2"/>
      <c r="O70" s="2"/>
      <c r="P70" s="2"/>
      <c r="Q70" s="2"/>
      <c r="R70" s="2"/>
      <c r="S70" s="5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ht="12" customHeight="1" x14ac:dyDescent="0.3">
      <c r="A71" s="2"/>
      <c r="B71" s="3"/>
      <c r="D71" s="3"/>
      <c r="E71" s="2"/>
      <c r="F71" s="2"/>
      <c r="G71" s="2"/>
      <c r="H71" s="2"/>
      <c r="I71" s="2"/>
      <c r="J71" s="69"/>
      <c r="K71" s="70"/>
      <c r="L71" s="70"/>
      <c r="M71" s="2"/>
      <c r="N71" s="2"/>
      <c r="O71" s="2"/>
      <c r="P71" s="2"/>
      <c r="Q71" s="2"/>
      <c r="R71" s="2"/>
      <c r="S71" s="5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ht="12" customHeight="1" x14ac:dyDescent="0.3">
      <c r="A72" s="2"/>
      <c r="B72" s="3"/>
      <c r="D72" s="3"/>
      <c r="E72" s="2"/>
      <c r="F72" s="2"/>
      <c r="G72" s="2"/>
      <c r="H72" s="2"/>
      <c r="I72" s="2"/>
      <c r="J72" s="69"/>
      <c r="K72" s="70"/>
      <c r="L72" s="70"/>
      <c r="M72" s="2"/>
      <c r="N72" s="2"/>
      <c r="O72" s="2"/>
      <c r="P72" s="2"/>
      <c r="Q72" s="2"/>
      <c r="R72" s="2"/>
      <c r="S72" s="5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ht="12" customHeight="1" x14ac:dyDescent="0.3">
      <c r="A73" s="2"/>
      <c r="B73" s="3"/>
      <c r="D73" s="3"/>
      <c r="E73" s="2"/>
      <c r="F73" s="2"/>
      <c r="G73" s="2"/>
      <c r="H73" s="2"/>
      <c r="I73" s="2"/>
      <c r="J73" s="69"/>
      <c r="K73" s="70"/>
      <c r="L73" s="70"/>
      <c r="M73" s="2"/>
      <c r="N73" s="2"/>
      <c r="O73" s="2"/>
      <c r="P73" s="2"/>
      <c r="Q73" s="2"/>
      <c r="R73" s="2"/>
      <c r="S73" s="5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ht="12" customHeight="1" x14ac:dyDescent="0.3">
      <c r="A74" s="2"/>
      <c r="B74" s="3"/>
      <c r="D74" s="3"/>
      <c r="E74" s="2"/>
      <c r="F74" s="2"/>
      <c r="G74" s="2"/>
      <c r="H74" s="2"/>
      <c r="I74" s="2"/>
      <c r="J74" s="69"/>
      <c r="K74" s="70"/>
      <c r="L74" s="70"/>
      <c r="M74" s="2"/>
      <c r="N74" s="2"/>
      <c r="O74" s="2"/>
      <c r="P74" s="2"/>
      <c r="Q74" s="2"/>
      <c r="R74" s="2"/>
      <c r="S74" s="5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ht="12" customHeight="1" x14ac:dyDescent="0.3">
      <c r="A75" s="2"/>
      <c r="B75" s="3"/>
      <c r="D75" s="3"/>
      <c r="E75" s="2"/>
      <c r="F75" s="2"/>
      <c r="G75" s="2"/>
      <c r="H75" s="2"/>
      <c r="I75" s="2"/>
      <c r="J75" s="69"/>
      <c r="K75" s="70"/>
      <c r="L75" s="70"/>
      <c r="M75" s="2"/>
      <c r="N75" s="2"/>
      <c r="O75" s="2"/>
      <c r="P75" s="2"/>
      <c r="Q75" s="2"/>
      <c r="R75" s="2"/>
      <c r="S75" s="5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ht="12" customHeight="1" x14ac:dyDescent="0.3">
      <c r="A76" s="2"/>
      <c r="B76" s="3"/>
      <c r="D76" s="3"/>
      <c r="E76" s="2"/>
      <c r="F76" s="2"/>
      <c r="G76" s="2"/>
      <c r="H76" s="2"/>
      <c r="I76" s="2"/>
      <c r="J76" s="69"/>
      <c r="K76" s="70"/>
      <c r="L76" s="70"/>
      <c r="M76" s="2"/>
      <c r="N76" s="2"/>
      <c r="O76" s="2"/>
      <c r="P76" s="2"/>
      <c r="Q76" s="2"/>
      <c r="R76" s="2"/>
      <c r="S76" s="5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ht="12" customHeight="1" x14ac:dyDescent="0.3">
      <c r="A77" s="2"/>
      <c r="B77" s="3"/>
      <c r="D77" s="3"/>
      <c r="E77" s="2"/>
      <c r="F77" s="2"/>
      <c r="G77" s="2"/>
      <c r="H77" s="2"/>
      <c r="I77" s="2"/>
      <c r="J77" s="69"/>
      <c r="K77" s="70"/>
      <c r="L77" s="70"/>
      <c r="M77" s="2"/>
      <c r="N77" s="2"/>
      <c r="O77" s="2"/>
      <c r="P77" s="2"/>
      <c r="Q77" s="2"/>
      <c r="R77" s="2"/>
      <c r="S77" s="5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ht="12" customHeight="1" x14ac:dyDescent="0.3">
      <c r="A78" s="2"/>
      <c r="B78" s="3"/>
      <c r="D78" s="3"/>
      <c r="E78" s="2"/>
      <c r="F78" s="2"/>
      <c r="G78" s="2"/>
      <c r="H78" s="2"/>
      <c r="I78" s="2"/>
      <c r="J78" s="69"/>
      <c r="K78" s="70"/>
      <c r="L78" s="70"/>
      <c r="M78" s="2"/>
      <c r="N78" s="2"/>
      <c r="O78" s="2"/>
      <c r="P78" s="2"/>
      <c r="Q78" s="2"/>
      <c r="R78" s="2"/>
      <c r="S78" s="5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ht="12" customHeight="1" x14ac:dyDescent="0.3">
      <c r="A79" s="2"/>
      <c r="B79" s="3"/>
      <c r="D79" s="3"/>
      <c r="E79" s="2"/>
      <c r="F79" s="2"/>
      <c r="G79" s="2"/>
      <c r="H79" s="2"/>
      <c r="I79" s="2"/>
      <c r="J79" s="69"/>
      <c r="K79" s="70"/>
      <c r="L79" s="70"/>
      <c r="M79" s="2"/>
      <c r="N79" s="2"/>
      <c r="O79" s="2"/>
      <c r="P79" s="2"/>
      <c r="Q79" s="2"/>
      <c r="R79" s="2"/>
      <c r="S79" s="5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ht="12" customHeight="1" x14ac:dyDescent="0.3">
      <c r="A80" s="2"/>
      <c r="B80" s="3"/>
      <c r="D80" s="3"/>
      <c r="E80" s="2"/>
      <c r="F80" s="2"/>
      <c r="G80" s="2"/>
      <c r="H80" s="2"/>
      <c r="I80" s="2"/>
      <c r="J80" s="69"/>
      <c r="K80" s="70"/>
      <c r="L80" s="70"/>
      <c r="M80" s="2"/>
      <c r="N80" s="2"/>
      <c r="O80" s="2"/>
      <c r="P80" s="2"/>
      <c r="Q80" s="2"/>
      <c r="R80" s="2"/>
      <c r="S80" s="5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ht="12" customHeight="1" x14ac:dyDescent="0.3">
      <c r="A81" s="2"/>
      <c r="B81" s="3"/>
      <c r="D81" s="3"/>
      <c r="E81" s="2"/>
      <c r="F81" s="2"/>
      <c r="G81" s="2"/>
      <c r="H81" s="2"/>
      <c r="I81" s="2"/>
      <c r="J81" s="69"/>
      <c r="K81" s="70"/>
      <c r="L81" s="70"/>
      <c r="M81" s="2"/>
      <c r="N81" s="2"/>
      <c r="O81" s="2"/>
      <c r="P81" s="2"/>
      <c r="Q81" s="2"/>
      <c r="R81" s="2"/>
      <c r="S81" s="5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ht="12" customHeight="1" x14ac:dyDescent="0.3">
      <c r="A82" s="2"/>
      <c r="B82" s="3"/>
      <c r="D82" s="3"/>
      <c r="E82" s="2"/>
      <c r="F82" s="2"/>
      <c r="G82" s="2"/>
      <c r="H82" s="2"/>
      <c r="I82" s="2"/>
      <c r="J82" s="69"/>
      <c r="K82" s="70"/>
      <c r="L82" s="70"/>
      <c r="M82" s="2"/>
      <c r="N82" s="2"/>
      <c r="O82" s="2"/>
      <c r="P82" s="2"/>
      <c r="Q82" s="2"/>
      <c r="R82" s="2"/>
      <c r="S82" s="5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ht="12" customHeight="1" x14ac:dyDescent="0.3">
      <c r="A83" s="2"/>
      <c r="B83" s="3"/>
      <c r="D83" s="3"/>
      <c r="E83" s="2"/>
      <c r="F83" s="2"/>
      <c r="G83" s="2"/>
      <c r="H83" s="2"/>
      <c r="I83" s="2"/>
      <c r="J83" s="69"/>
      <c r="K83" s="70"/>
      <c r="L83" s="70"/>
      <c r="M83" s="2"/>
      <c r="N83" s="2"/>
      <c r="O83" s="2"/>
      <c r="P83" s="2"/>
      <c r="Q83" s="2"/>
      <c r="R83" s="2"/>
      <c r="S83" s="5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ht="12" customHeight="1" x14ac:dyDescent="0.3">
      <c r="A84" s="2"/>
      <c r="B84" s="3"/>
      <c r="D84" s="3"/>
      <c r="E84" s="2"/>
      <c r="F84" s="2"/>
      <c r="G84" s="2"/>
      <c r="H84" s="2"/>
      <c r="I84" s="2"/>
      <c r="J84" s="69"/>
      <c r="K84" s="70"/>
      <c r="L84" s="70"/>
      <c r="M84" s="2"/>
      <c r="N84" s="2"/>
      <c r="O84" s="2"/>
      <c r="P84" s="2"/>
      <c r="Q84" s="2"/>
      <c r="R84" s="2"/>
      <c r="S84" s="5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ht="12" customHeight="1" x14ac:dyDescent="0.3">
      <c r="A85" s="2"/>
      <c r="B85" s="3"/>
      <c r="D85" s="3"/>
      <c r="E85" s="2"/>
      <c r="F85" s="2"/>
      <c r="G85" s="2"/>
      <c r="H85" s="2"/>
      <c r="I85" s="2"/>
      <c r="J85" s="69"/>
      <c r="K85" s="70"/>
      <c r="L85" s="70"/>
      <c r="M85" s="2"/>
      <c r="N85" s="2"/>
      <c r="O85" s="2"/>
      <c r="P85" s="2"/>
      <c r="Q85" s="2"/>
      <c r="R85" s="2"/>
      <c r="S85" s="5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ht="12" customHeight="1" x14ac:dyDescent="0.3">
      <c r="A86" s="2"/>
      <c r="B86" s="3"/>
      <c r="D86" s="3"/>
      <c r="E86" s="2"/>
      <c r="F86" s="2"/>
      <c r="G86" s="2"/>
      <c r="H86" s="2"/>
      <c r="I86" s="2"/>
      <c r="J86" s="69"/>
      <c r="K86" s="70"/>
      <c r="L86" s="70"/>
      <c r="M86" s="2"/>
      <c r="N86" s="2"/>
      <c r="O86" s="2"/>
      <c r="P86" s="2"/>
      <c r="Q86" s="2"/>
      <c r="R86" s="2"/>
      <c r="S86" s="5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ht="12" customHeight="1" x14ac:dyDescent="0.3">
      <c r="A87" s="2"/>
      <c r="B87" s="3"/>
      <c r="D87" s="3"/>
      <c r="E87" s="2"/>
      <c r="F87" s="2"/>
      <c r="G87" s="2"/>
      <c r="H87" s="2"/>
      <c r="I87" s="2"/>
      <c r="J87" s="69"/>
      <c r="K87" s="70"/>
      <c r="L87" s="70"/>
      <c r="M87" s="2"/>
      <c r="N87" s="2"/>
      <c r="O87" s="2"/>
      <c r="P87" s="2"/>
      <c r="Q87" s="2"/>
      <c r="R87" s="2"/>
      <c r="S87" s="5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ht="12" customHeight="1" x14ac:dyDescent="0.3">
      <c r="A88" s="2"/>
      <c r="B88" s="3"/>
      <c r="D88" s="3"/>
      <c r="E88" s="2"/>
      <c r="F88" s="2"/>
      <c r="G88" s="2"/>
      <c r="H88" s="2"/>
      <c r="I88" s="2"/>
      <c r="J88" s="69"/>
      <c r="K88" s="70"/>
      <c r="L88" s="70"/>
      <c r="M88" s="2"/>
      <c r="N88" s="2"/>
      <c r="O88" s="2"/>
      <c r="P88" s="2"/>
      <c r="Q88" s="2"/>
      <c r="R88" s="2"/>
      <c r="S88" s="5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ht="12" customHeight="1" x14ac:dyDescent="0.3">
      <c r="A89" s="2"/>
      <c r="B89" s="3"/>
      <c r="D89" s="3"/>
      <c r="E89" s="2"/>
      <c r="F89" s="2"/>
      <c r="G89" s="2"/>
      <c r="H89" s="2"/>
      <c r="I89" s="2"/>
      <c r="J89" s="69"/>
      <c r="K89" s="70"/>
      <c r="L89" s="70"/>
      <c r="M89" s="2"/>
      <c r="N89" s="2"/>
      <c r="O89" s="2"/>
      <c r="P89" s="2"/>
      <c r="Q89" s="2"/>
      <c r="R89" s="2"/>
      <c r="S89" s="5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ht="12" customHeight="1" x14ac:dyDescent="0.3">
      <c r="A90" s="2"/>
      <c r="B90" s="3"/>
      <c r="D90" s="3"/>
      <c r="E90" s="2"/>
      <c r="F90" s="2"/>
      <c r="G90" s="2"/>
      <c r="H90" s="2"/>
      <c r="I90" s="2"/>
      <c r="J90" s="69"/>
      <c r="K90" s="59"/>
      <c r="L90" s="59"/>
      <c r="M90" s="2"/>
      <c r="N90" s="2"/>
      <c r="O90" s="2"/>
      <c r="P90" s="2"/>
      <c r="Q90" s="2"/>
      <c r="R90" s="2"/>
      <c r="S90" s="5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ht="12" customHeight="1" x14ac:dyDescent="0.3">
      <c r="A91" s="2"/>
      <c r="B91" s="3"/>
      <c r="D91" s="3"/>
      <c r="E91" s="2"/>
      <c r="F91" s="2"/>
      <c r="G91" s="2"/>
      <c r="H91" s="2"/>
      <c r="I91" s="2"/>
      <c r="J91" s="3"/>
      <c r="K91" s="53"/>
      <c r="L91" s="53"/>
      <c r="M91" s="2"/>
      <c r="N91" s="2"/>
      <c r="O91" s="2"/>
      <c r="P91" s="2"/>
      <c r="Q91" s="2"/>
      <c r="R91" s="2"/>
      <c r="S91" s="5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ht="12" customHeight="1" x14ac:dyDescent="0.3">
      <c r="A92" s="2"/>
      <c r="B92" s="3"/>
      <c r="D92" s="3"/>
      <c r="E92" s="2"/>
      <c r="F92" s="2"/>
      <c r="G92" s="2"/>
      <c r="H92" s="2"/>
      <c r="I92" s="2"/>
      <c r="J92" s="3"/>
      <c r="K92" s="53"/>
      <c r="L92" s="53"/>
      <c r="M92" s="2"/>
      <c r="N92" s="2"/>
      <c r="O92" s="2"/>
      <c r="P92" s="2"/>
      <c r="Q92" s="2"/>
      <c r="R92" s="2"/>
      <c r="S92" s="5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ht="12" customHeight="1" x14ac:dyDescent="0.3">
      <c r="A93" s="2"/>
      <c r="B93" s="3"/>
      <c r="D93" s="3"/>
      <c r="E93" s="2"/>
      <c r="F93" s="2"/>
      <c r="G93" s="2"/>
      <c r="H93" s="2"/>
      <c r="I93" s="2"/>
      <c r="J93" s="3"/>
      <c r="K93" s="53"/>
      <c r="L93" s="53"/>
      <c r="M93" s="2"/>
      <c r="N93" s="2"/>
      <c r="O93" s="2"/>
      <c r="P93" s="2"/>
      <c r="Q93" s="2"/>
      <c r="R93" s="2"/>
      <c r="S93" s="5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ht="12" customHeight="1" x14ac:dyDescent="0.3">
      <c r="A94" s="2"/>
      <c r="B94" s="3"/>
      <c r="D94" s="3"/>
      <c r="E94" s="2"/>
      <c r="F94" s="2"/>
      <c r="G94" s="2"/>
      <c r="H94" s="2"/>
      <c r="I94" s="2"/>
      <c r="J94" s="3"/>
      <c r="K94" s="53"/>
      <c r="L94" s="53"/>
      <c r="M94" s="2"/>
      <c r="N94" s="2"/>
      <c r="O94" s="2"/>
      <c r="P94" s="2"/>
      <c r="Q94" s="2"/>
      <c r="R94" s="2"/>
      <c r="S94" s="5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ht="12" customHeight="1" x14ac:dyDescent="0.3">
      <c r="A95" s="2"/>
      <c r="B95" s="3"/>
      <c r="D95" s="3"/>
      <c r="E95" s="2"/>
      <c r="F95" s="2"/>
      <c r="G95" s="2"/>
      <c r="H95" s="2"/>
      <c r="I95" s="2"/>
      <c r="J95" s="3"/>
      <c r="K95" s="53"/>
      <c r="L95" s="53"/>
      <c r="M95" s="2"/>
      <c r="N95" s="2"/>
      <c r="O95" s="2"/>
      <c r="P95" s="2"/>
      <c r="Q95" s="2"/>
      <c r="R95" s="2"/>
      <c r="S95" s="5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ht="12" customHeight="1" x14ac:dyDescent="0.3">
      <c r="A96" s="2"/>
      <c r="B96" s="3"/>
      <c r="D96" s="3"/>
      <c r="E96" s="2"/>
      <c r="F96" s="2"/>
      <c r="G96" s="2"/>
      <c r="H96" s="2"/>
      <c r="I96" s="2"/>
      <c r="J96" s="3"/>
      <c r="K96" s="53"/>
      <c r="L96" s="53"/>
      <c r="M96" s="2"/>
      <c r="N96" s="2"/>
      <c r="O96" s="2"/>
      <c r="P96" s="2"/>
      <c r="Q96" s="2"/>
      <c r="R96" s="2"/>
      <c r="S96" s="5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ht="12" customHeight="1" x14ac:dyDescent="0.3">
      <c r="A97" s="2"/>
      <c r="B97" s="3"/>
      <c r="D97" s="3"/>
      <c r="E97" s="2"/>
      <c r="F97" s="2"/>
      <c r="G97" s="2"/>
      <c r="H97" s="2"/>
      <c r="I97" s="2"/>
      <c r="J97" s="3"/>
      <c r="K97" s="53"/>
      <c r="L97" s="53"/>
      <c r="M97" s="2"/>
      <c r="N97" s="2"/>
      <c r="O97" s="2"/>
      <c r="P97" s="2"/>
      <c r="Q97" s="2"/>
      <c r="R97" s="2"/>
      <c r="S97" s="5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ht="12" customHeight="1" x14ac:dyDescent="0.3">
      <c r="A98" s="2"/>
      <c r="B98" s="3"/>
      <c r="D98" s="3"/>
      <c r="E98" s="2"/>
      <c r="F98" s="2"/>
      <c r="G98" s="2"/>
      <c r="H98" s="2"/>
      <c r="I98" s="2"/>
      <c r="J98" s="3"/>
      <c r="K98" s="53"/>
      <c r="L98" s="53"/>
      <c r="M98" s="2"/>
      <c r="N98" s="2"/>
      <c r="O98" s="2"/>
      <c r="P98" s="2"/>
      <c r="Q98" s="2"/>
      <c r="R98" s="2"/>
      <c r="S98" s="5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ht="12" customHeight="1" x14ac:dyDescent="0.3">
      <c r="A99" s="2"/>
      <c r="B99" s="3"/>
      <c r="D99" s="3"/>
      <c r="E99" s="2"/>
      <c r="F99" s="2"/>
      <c r="G99" s="2"/>
      <c r="H99" s="2"/>
      <c r="I99" s="2"/>
      <c r="J99" s="3"/>
      <c r="K99" s="53"/>
      <c r="L99" s="53"/>
      <c r="M99" s="2"/>
      <c r="N99" s="2"/>
      <c r="O99" s="2"/>
      <c r="P99" s="2"/>
      <c r="Q99" s="2"/>
      <c r="R99" s="2"/>
      <c r="S99" s="5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ht="12" customHeight="1" x14ac:dyDescent="0.3">
      <c r="A100" s="2"/>
      <c r="B100" s="3"/>
      <c r="D100" s="3"/>
      <c r="E100" s="2"/>
      <c r="F100" s="2"/>
      <c r="G100" s="2"/>
      <c r="H100" s="2"/>
      <c r="I100" s="2"/>
      <c r="J100" s="3"/>
      <c r="K100" s="53"/>
      <c r="L100" s="53"/>
      <c r="M100" s="2"/>
      <c r="N100" s="2"/>
      <c r="O100" s="2"/>
      <c r="P100" s="2"/>
      <c r="Q100" s="2"/>
      <c r="R100" s="2"/>
      <c r="S100" s="5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ht="12" customHeight="1" x14ac:dyDescent="0.3">
      <c r="A101" s="2"/>
      <c r="B101" s="3"/>
      <c r="D101" s="3"/>
      <c r="E101" s="2"/>
      <c r="F101" s="2"/>
      <c r="G101" s="2"/>
      <c r="H101" s="2"/>
      <c r="I101" s="2"/>
      <c r="J101" s="3"/>
      <c r="K101" s="53"/>
      <c r="L101" s="53"/>
      <c r="M101" s="2"/>
      <c r="N101" s="2"/>
      <c r="O101" s="2"/>
      <c r="P101" s="2"/>
      <c r="Q101" s="2"/>
      <c r="R101" s="2"/>
      <c r="S101" s="5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ht="12" customHeight="1" x14ac:dyDescent="0.3">
      <c r="A102" s="2"/>
      <c r="B102" s="3"/>
      <c r="D102" s="3"/>
      <c r="E102" s="2"/>
      <c r="F102" s="2"/>
      <c r="G102" s="2"/>
      <c r="H102" s="2"/>
      <c r="I102" s="2"/>
      <c r="J102" s="3"/>
      <c r="K102" s="53"/>
      <c r="L102" s="53"/>
      <c r="M102" s="2"/>
      <c r="N102" s="2"/>
      <c r="O102" s="2"/>
      <c r="P102" s="2"/>
      <c r="Q102" s="2"/>
      <c r="R102" s="2"/>
      <c r="S102" s="5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ht="12" customHeight="1" x14ac:dyDescent="0.3">
      <c r="A103" s="2"/>
      <c r="B103" s="3"/>
      <c r="D103" s="3"/>
      <c r="E103" s="2"/>
      <c r="F103" s="2"/>
      <c r="G103" s="2"/>
      <c r="H103" s="2"/>
      <c r="I103" s="2"/>
      <c r="J103" s="3"/>
      <c r="K103" s="53"/>
      <c r="L103" s="53"/>
      <c r="M103" s="2"/>
      <c r="N103" s="2"/>
      <c r="O103" s="2"/>
      <c r="P103" s="2"/>
      <c r="Q103" s="2"/>
      <c r="R103" s="2"/>
      <c r="S103" s="5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ht="12" customHeight="1" x14ac:dyDescent="0.3">
      <c r="A104" s="2"/>
      <c r="B104" s="3"/>
      <c r="D104" s="3"/>
      <c r="E104" s="2"/>
      <c r="F104" s="2"/>
      <c r="G104" s="2"/>
      <c r="H104" s="2"/>
      <c r="I104" s="2"/>
      <c r="J104" s="3"/>
      <c r="K104" s="53"/>
      <c r="L104" s="53"/>
      <c r="M104" s="2"/>
      <c r="N104" s="2"/>
      <c r="O104" s="2"/>
      <c r="P104" s="2"/>
      <c r="Q104" s="2"/>
      <c r="R104" s="2"/>
      <c r="S104" s="5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ht="12" customHeight="1" x14ac:dyDescent="0.3">
      <c r="A105" s="2"/>
      <c r="B105" s="3"/>
      <c r="D105" s="3"/>
      <c r="E105" s="2"/>
      <c r="F105" s="2"/>
      <c r="G105" s="2"/>
      <c r="H105" s="2"/>
      <c r="I105" s="2"/>
      <c r="J105" s="3"/>
      <c r="K105" s="53"/>
      <c r="L105" s="53"/>
      <c r="M105" s="2"/>
      <c r="N105" s="2"/>
      <c r="O105" s="2"/>
      <c r="P105" s="2"/>
      <c r="Q105" s="2"/>
      <c r="R105" s="2"/>
      <c r="S105" s="5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ht="12" customHeight="1" x14ac:dyDescent="0.3">
      <c r="A106" s="2"/>
      <c r="B106" s="3"/>
      <c r="D106" s="3"/>
      <c r="E106" s="2"/>
      <c r="F106" s="2"/>
      <c r="G106" s="2"/>
      <c r="H106" s="2"/>
      <c r="I106" s="2"/>
      <c r="J106" s="3"/>
      <c r="K106" s="53"/>
      <c r="L106" s="53"/>
      <c r="M106" s="2"/>
      <c r="N106" s="2"/>
      <c r="O106" s="2"/>
      <c r="P106" s="2"/>
      <c r="Q106" s="2"/>
      <c r="R106" s="2"/>
      <c r="S106" s="5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ht="12" customHeight="1" x14ac:dyDescent="0.3">
      <c r="A107" s="2"/>
      <c r="B107" s="3"/>
      <c r="D107" s="3"/>
      <c r="E107" s="2"/>
      <c r="F107" s="2"/>
      <c r="G107" s="2"/>
      <c r="H107" s="2"/>
      <c r="I107" s="2"/>
      <c r="J107" s="3"/>
      <c r="K107" s="53"/>
      <c r="L107" s="53"/>
      <c r="M107" s="2"/>
      <c r="N107" s="2"/>
      <c r="O107" s="2"/>
      <c r="P107" s="2"/>
      <c r="Q107" s="2"/>
      <c r="R107" s="2"/>
      <c r="S107" s="5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ht="12" customHeight="1" x14ac:dyDescent="0.3">
      <c r="A108" s="2"/>
      <c r="B108" s="3"/>
      <c r="D108" s="3"/>
      <c r="E108" s="2"/>
      <c r="F108" s="2"/>
      <c r="G108" s="2"/>
      <c r="H108" s="2"/>
      <c r="I108" s="2"/>
      <c r="J108" s="3"/>
      <c r="K108" s="53"/>
      <c r="L108" s="53"/>
      <c r="M108" s="2"/>
      <c r="N108" s="2"/>
      <c r="O108" s="2"/>
      <c r="P108" s="2"/>
      <c r="Q108" s="2"/>
      <c r="R108" s="2"/>
      <c r="S108" s="5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ht="12" customHeight="1" x14ac:dyDescent="0.3">
      <c r="A109" s="2"/>
      <c r="B109" s="3"/>
      <c r="D109" s="3"/>
      <c r="E109" s="2"/>
      <c r="F109" s="2"/>
      <c r="G109" s="2"/>
      <c r="H109" s="2"/>
      <c r="I109" s="2"/>
      <c r="J109" s="3"/>
      <c r="K109" s="53"/>
      <c r="L109" s="53"/>
      <c r="M109" s="2"/>
      <c r="N109" s="2"/>
      <c r="O109" s="2"/>
      <c r="P109" s="2"/>
      <c r="Q109" s="2"/>
      <c r="R109" s="2"/>
      <c r="S109" s="5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ht="12" customHeight="1" x14ac:dyDescent="0.3">
      <c r="A110" s="2"/>
      <c r="B110" s="3"/>
      <c r="D110" s="3"/>
      <c r="E110" s="2"/>
      <c r="F110" s="2"/>
      <c r="G110" s="2"/>
      <c r="H110" s="2"/>
      <c r="I110" s="2"/>
      <c r="J110" s="3"/>
      <c r="K110" s="53"/>
      <c r="L110" s="53"/>
      <c r="M110" s="2"/>
      <c r="N110" s="2"/>
      <c r="O110" s="2"/>
      <c r="P110" s="2"/>
      <c r="Q110" s="2"/>
      <c r="R110" s="2"/>
      <c r="S110" s="5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ht="12" customHeight="1" x14ac:dyDescent="0.3">
      <c r="A111" s="2"/>
      <c r="B111" s="3"/>
      <c r="D111" s="3"/>
      <c r="E111" s="2"/>
      <c r="F111" s="2"/>
      <c r="G111" s="2"/>
      <c r="H111" s="2"/>
      <c r="I111" s="2"/>
      <c r="J111" s="3"/>
      <c r="K111" s="53"/>
      <c r="L111" s="53"/>
      <c r="M111" s="2"/>
      <c r="N111" s="2"/>
      <c r="O111" s="2"/>
      <c r="P111" s="2"/>
      <c r="Q111" s="2"/>
      <c r="R111" s="2"/>
      <c r="S111" s="5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ht="12" customHeight="1" x14ac:dyDescent="0.3">
      <c r="A112" s="2"/>
      <c r="B112" s="3"/>
      <c r="D112" s="3"/>
      <c r="E112" s="2"/>
      <c r="F112" s="2"/>
      <c r="G112" s="2"/>
      <c r="H112" s="2"/>
      <c r="I112" s="2"/>
      <c r="J112" s="3"/>
      <c r="K112" s="53"/>
      <c r="L112" s="53"/>
      <c r="M112" s="2"/>
      <c r="N112" s="2"/>
      <c r="O112" s="2"/>
      <c r="P112" s="2"/>
      <c r="Q112" s="2"/>
      <c r="R112" s="2"/>
      <c r="S112" s="5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ht="12" customHeight="1" x14ac:dyDescent="0.3">
      <c r="A113" s="2"/>
      <c r="B113" s="3"/>
      <c r="D113" s="3"/>
      <c r="E113" s="2"/>
      <c r="F113" s="2"/>
      <c r="G113" s="2"/>
      <c r="H113" s="2"/>
      <c r="I113" s="2"/>
      <c r="J113" s="3"/>
      <c r="K113" s="53"/>
      <c r="L113" s="53"/>
      <c r="M113" s="2"/>
      <c r="N113" s="2"/>
      <c r="O113" s="2"/>
      <c r="P113" s="2"/>
      <c r="Q113" s="2"/>
      <c r="R113" s="2"/>
      <c r="S113" s="5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ht="12" customHeight="1" x14ac:dyDescent="0.3">
      <c r="A114" s="2"/>
      <c r="B114" s="3"/>
      <c r="D114" s="3"/>
      <c r="E114" s="2"/>
      <c r="F114" s="2"/>
      <c r="G114" s="2"/>
      <c r="H114" s="2"/>
      <c r="I114" s="2"/>
      <c r="J114" s="3"/>
      <c r="K114" s="53"/>
      <c r="L114" s="53"/>
      <c r="M114" s="2"/>
      <c r="N114" s="2"/>
      <c r="O114" s="2"/>
      <c r="P114" s="2"/>
      <c r="Q114" s="2"/>
      <c r="R114" s="2"/>
      <c r="S114" s="5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ht="12" customHeight="1" x14ac:dyDescent="0.3">
      <c r="A115" s="2"/>
      <c r="B115" s="3"/>
      <c r="D115" s="3"/>
      <c r="E115" s="2"/>
      <c r="F115" s="2"/>
      <c r="G115" s="2"/>
      <c r="H115" s="2"/>
      <c r="I115" s="2"/>
      <c r="J115" s="3"/>
      <c r="K115" s="53"/>
      <c r="L115" s="53"/>
      <c r="M115" s="2"/>
      <c r="N115" s="2"/>
      <c r="O115" s="2"/>
      <c r="P115" s="2"/>
      <c r="Q115" s="2"/>
      <c r="R115" s="2"/>
      <c r="S115" s="5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ht="12" customHeight="1" x14ac:dyDescent="0.3">
      <c r="A116" s="2"/>
      <c r="B116" s="3"/>
      <c r="D116" s="3"/>
      <c r="E116" s="2"/>
      <c r="F116" s="2"/>
      <c r="G116" s="2"/>
      <c r="H116" s="2"/>
      <c r="I116" s="2"/>
      <c r="J116" s="3"/>
      <c r="K116" s="53"/>
      <c r="L116" s="53"/>
      <c r="M116" s="2"/>
      <c r="N116" s="2"/>
      <c r="O116" s="2"/>
      <c r="P116" s="2"/>
      <c r="Q116" s="2"/>
      <c r="R116" s="2"/>
      <c r="S116" s="5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ht="12" customHeight="1" x14ac:dyDescent="0.3">
      <c r="A117" s="2"/>
      <c r="B117" s="3"/>
      <c r="D117" s="3"/>
      <c r="E117" s="2"/>
      <c r="F117" s="2"/>
      <c r="G117" s="2"/>
      <c r="H117" s="2"/>
      <c r="I117" s="2"/>
      <c r="J117" s="3"/>
      <c r="K117" s="53"/>
      <c r="L117" s="53"/>
      <c r="M117" s="2"/>
      <c r="N117" s="2"/>
      <c r="O117" s="2"/>
      <c r="P117" s="2"/>
      <c r="Q117" s="2"/>
      <c r="R117" s="2"/>
      <c r="S117" s="5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ht="12" customHeight="1" x14ac:dyDescent="0.3">
      <c r="A118" s="2"/>
      <c r="B118" s="3"/>
      <c r="D118" s="3"/>
      <c r="E118" s="2"/>
      <c r="F118" s="2"/>
      <c r="G118" s="2"/>
      <c r="H118" s="2"/>
      <c r="I118" s="2"/>
      <c r="J118" s="3"/>
      <c r="K118" s="53"/>
      <c r="L118" s="53"/>
      <c r="M118" s="2"/>
      <c r="N118" s="2"/>
      <c r="O118" s="2"/>
      <c r="P118" s="2"/>
      <c r="Q118" s="2"/>
      <c r="R118" s="2"/>
      <c r="S118" s="5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ht="12" customHeight="1" x14ac:dyDescent="0.3">
      <c r="A119" s="2"/>
      <c r="B119" s="3"/>
      <c r="D119" s="3"/>
      <c r="E119" s="2"/>
      <c r="F119" s="2"/>
      <c r="G119" s="2"/>
      <c r="H119" s="2"/>
      <c r="I119" s="2"/>
      <c r="J119" s="3"/>
      <c r="K119" s="53"/>
      <c r="L119" s="53"/>
      <c r="M119" s="2"/>
      <c r="N119" s="2"/>
      <c r="O119" s="2"/>
      <c r="P119" s="2"/>
      <c r="Q119" s="2"/>
      <c r="R119" s="2"/>
      <c r="S119" s="5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ht="12" customHeight="1" x14ac:dyDescent="0.3">
      <c r="A120" s="2"/>
      <c r="B120" s="3"/>
      <c r="D120" s="3"/>
      <c r="E120" s="2"/>
      <c r="F120" s="2"/>
      <c r="G120" s="2"/>
      <c r="H120" s="2"/>
      <c r="I120" s="2"/>
      <c r="J120" s="3"/>
      <c r="K120" s="53"/>
      <c r="L120" s="53"/>
      <c r="M120" s="2"/>
      <c r="N120" s="2"/>
      <c r="O120" s="2"/>
      <c r="P120" s="2"/>
      <c r="Q120" s="2"/>
      <c r="R120" s="2"/>
      <c r="S120" s="5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ht="12" customHeight="1" x14ac:dyDescent="0.3">
      <c r="A121" s="2"/>
      <c r="B121" s="3"/>
      <c r="D121" s="3"/>
      <c r="E121" s="2"/>
      <c r="F121" s="2"/>
      <c r="G121" s="2"/>
      <c r="H121" s="2"/>
      <c r="I121" s="2"/>
      <c r="J121" s="3"/>
      <c r="K121" s="53"/>
      <c r="L121" s="53"/>
      <c r="M121" s="2"/>
      <c r="N121" s="2"/>
      <c r="O121" s="2"/>
      <c r="P121" s="2"/>
      <c r="Q121" s="2"/>
      <c r="R121" s="2"/>
      <c r="S121" s="5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ht="12" customHeight="1" x14ac:dyDescent="0.3">
      <c r="A122" s="2"/>
      <c r="B122" s="3"/>
      <c r="D122" s="3"/>
      <c r="E122" s="2"/>
      <c r="F122" s="2"/>
      <c r="G122" s="2"/>
      <c r="H122" s="2"/>
      <c r="I122" s="2"/>
      <c r="J122" s="3"/>
      <c r="K122" s="53"/>
      <c r="L122" s="53"/>
      <c r="M122" s="2"/>
      <c r="N122" s="2"/>
      <c r="O122" s="2"/>
      <c r="P122" s="2"/>
      <c r="Q122" s="2"/>
      <c r="R122" s="2"/>
      <c r="S122" s="5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ht="12" customHeight="1" x14ac:dyDescent="0.3">
      <c r="A123" s="2"/>
      <c r="B123" s="3"/>
      <c r="D123" s="3"/>
      <c r="E123" s="2"/>
      <c r="F123" s="2"/>
      <c r="G123" s="2"/>
      <c r="H123" s="2"/>
      <c r="I123" s="2"/>
      <c r="J123" s="3"/>
      <c r="K123" s="53"/>
      <c r="L123" s="53"/>
      <c r="M123" s="2"/>
      <c r="N123" s="2"/>
      <c r="O123" s="2"/>
      <c r="P123" s="2"/>
      <c r="Q123" s="2"/>
      <c r="R123" s="2"/>
      <c r="S123" s="5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ht="12" customHeight="1" x14ac:dyDescent="0.3">
      <c r="A124" s="2"/>
      <c r="B124" s="3"/>
      <c r="D124" s="3"/>
      <c r="E124" s="2"/>
      <c r="F124" s="2"/>
      <c r="G124" s="2"/>
      <c r="H124" s="2"/>
      <c r="I124" s="2"/>
      <c r="J124" s="3"/>
      <c r="K124" s="53"/>
      <c r="L124" s="53"/>
      <c r="M124" s="2"/>
      <c r="N124" s="2"/>
      <c r="O124" s="2"/>
      <c r="P124" s="2"/>
      <c r="Q124" s="2"/>
      <c r="R124" s="2"/>
      <c r="S124" s="5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ht="12" customHeight="1" x14ac:dyDescent="0.3">
      <c r="A125" s="2"/>
      <c r="B125" s="3"/>
      <c r="D125" s="3"/>
      <c r="E125" s="2"/>
      <c r="F125" s="2"/>
      <c r="G125" s="2"/>
      <c r="H125" s="2"/>
      <c r="I125" s="2"/>
      <c r="J125" s="3"/>
      <c r="K125" s="53"/>
      <c r="L125" s="53"/>
      <c r="M125" s="2"/>
      <c r="N125" s="2"/>
      <c r="O125" s="2"/>
      <c r="P125" s="2"/>
      <c r="Q125" s="2"/>
      <c r="R125" s="2"/>
      <c r="S125" s="5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ht="12" customHeight="1" x14ac:dyDescent="0.3">
      <c r="A126" s="2"/>
      <c r="B126" s="3"/>
      <c r="D126" s="3"/>
      <c r="E126" s="2"/>
      <c r="F126" s="2"/>
      <c r="G126" s="2"/>
      <c r="H126" s="2"/>
      <c r="I126" s="2"/>
      <c r="J126" s="3"/>
      <c r="K126" s="53"/>
      <c r="L126" s="53"/>
      <c r="M126" s="2"/>
      <c r="N126" s="2"/>
      <c r="O126" s="2"/>
      <c r="P126" s="2"/>
      <c r="Q126" s="2"/>
      <c r="R126" s="2"/>
      <c r="S126" s="5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ht="12" customHeight="1" x14ac:dyDescent="0.3">
      <c r="A127" s="2"/>
      <c r="B127" s="3"/>
      <c r="D127" s="3"/>
      <c r="E127" s="2"/>
      <c r="F127" s="2"/>
      <c r="G127" s="2"/>
      <c r="H127" s="2"/>
      <c r="I127" s="2"/>
      <c r="J127" s="3"/>
      <c r="K127" s="53"/>
      <c r="L127" s="53"/>
      <c r="M127" s="2"/>
      <c r="N127" s="2"/>
      <c r="O127" s="2"/>
      <c r="P127" s="2"/>
      <c r="Q127" s="2"/>
      <c r="R127" s="2"/>
      <c r="S127" s="5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ht="12" customHeight="1" x14ac:dyDescent="0.3">
      <c r="A128" s="2"/>
      <c r="B128" s="3"/>
      <c r="D128" s="3"/>
      <c r="E128" s="2"/>
      <c r="F128" s="2"/>
      <c r="G128" s="2"/>
      <c r="H128" s="2"/>
      <c r="I128" s="2"/>
      <c r="J128" s="3"/>
      <c r="K128" s="53"/>
      <c r="L128" s="53"/>
      <c r="M128" s="2"/>
      <c r="N128" s="2"/>
      <c r="O128" s="2"/>
      <c r="P128" s="2"/>
      <c r="Q128" s="2"/>
      <c r="R128" s="2"/>
      <c r="S128" s="5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ht="12" customHeight="1" x14ac:dyDescent="0.3">
      <c r="A129" s="2"/>
      <c r="B129" s="3"/>
      <c r="D129" s="3"/>
      <c r="E129" s="2"/>
      <c r="F129" s="2"/>
      <c r="G129" s="2"/>
      <c r="H129" s="2"/>
      <c r="I129" s="2"/>
      <c r="J129" s="3"/>
      <c r="K129" s="53"/>
      <c r="L129" s="53"/>
      <c r="M129" s="2"/>
      <c r="N129" s="2"/>
      <c r="O129" s="2"/>
      <c r="P129" s="2"/>
      <c r="Q129" s="2"/>
      <c r="R129" s="2"/>
      <c r="S129" s="5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ht="12" customHeight="1" x14ac:dyDescent="0.3">
      <c r="A130" s="2"/>
      <c r="B130" s="3"/>
      <c r="D130" s="3"/>
      <c r="E130" s="2"/>
      <c r="F130" s="2"/>
      <c r="G130" s="2"/>
      <c r="H130" s="2"/>
      <c r="I130" s="2"/>
      <c r="J130" s="3"/>
      <c r="K130" s="53"/>
      <c r="L130" s="53"/>
      <c r="M130" s="2"/>
      <c r="N130" s="2"/>
      <c r="O130" s="2"/>
      <c r="P130" s="2"/>
      <c r="Q130" s="2"/>
      <c r="R130" s="2"/>
      <c r="S130" s="5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ht="12" customHeight="1" x14ac:dyDescent="0.3">
      <c r="A131" s="2"/>
      <c r="B131" s="3"/>
      <c r="D131" s="3"/>
      <c r="E131" s="2"/>
      <c r="F131" s="2"/>
      <c r="G131" s="2"/>
      <c r="H131" s="2"/>
      <c r="I131" s="2"/>
      <c r="J131" s="3"/>
      <c r="K131" s="53"/>
      <c r="L131" s="53"/>
      <c r="M131" s="2"/>
      <c r="N131" s="2"/>
      <c r="O131" s="2"/>
      <c r="P131" s="2"/>
      <c r="Q131" s="2"/>
      <c r="R131" s="2"/>
      <c r="S131" s="5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ht="12" customHeight="1" x14ac:dyDescent="0.3">
      <c r="A132" s="2"/>
      <c r="B132" s="3"/>
      <c r="D132" s="3"/>
      <c r="E132" s="2"/>
      <c r="F132" s="2"/>
      <c r="G132" s="2"/>
      <c r="H132" s="2"/>
      <c r="I132" s="2"/>
      <c r="J132" s="3"/>
      <c r="K132" s="53"/>
      <c r="L132" s="53"/>
      <c r="M132" s="2"/>
      <c r="N132" s="2"/>
      <c r="O132" s="2"/>
      <c r="P132" s="2"/>
      <c r="Q132" s="2"/>
      <c r="R132" s="2"/>
      <c r="S132" s="5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ht="12" customHeight="1" x14ac:dyDescent="0.3">
      <c r="A133" s="2"/>
      <c r="B133" s="3"/>
      <c r="D133" s="3"/>
      <c r="E133" s="2"/>
      <c r="F133" s="2"/>
      <c r="G133" s="2"/>
      <c r="H133" s="2"/>
      <c r="I133" s="2"/>
      <c r="J133" s="3"/>
      <c r="K133" s="53"/>
      <c r="L133" s="53"/>
      <c r="M133" s="2"/>
      <c r="N133" s="2"/>
      <c r="O133" s="2"/>
      <c r="P133" s="2"/>
      <c r="Q133" s="2"/>
      <c r="R133" s="2"/>
      <c r="S133" s="5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ht="12" customHeight="1" x14ac:dyDescent="0.3">
      <c r="A134" s="2"/>
      <c r="B134" s="3"/>
      <c r="D134" s="3"/>
      <c r="E134" s="2"/>
      <c r="F134" s="2"/>
      <c r="G134" s="2"/>
      <c r="H134" s="2"/>
      <c r="I134" s="2"/>
      <c r="J134" s="3"/>
      <c r="K134" s="53"/>
      <c r="L134" s="53"/>
      <c r="M134" s="2"/>
      <c r="N134" s="2"/>
      <c r="O134" s="2"/>
      <c r="P134" s="2"/>
      <c r="Q134" s="2"/>
      <c r="R134" s="2"/>
      <c r="S134" s="5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ht="12" customHeight="1" x14ac:dyDescent="0.3">
      <c r="A135" s="2"/>
      <c r="B135" s="3"/>
      <c r="D135" s="3"/>
      <c r="E135" s="2"/>
      <c r="F135" s="2"/>
      <c r="G135" s="2"/>
      <c r="H135" s="2"/>
      <c r="I135" s="2"/>
      <c r="J135" s="3"/>
      <c r="K135" s="53"/>
      <c r="L135" s="53"/>
      <c r="M135" s="2"/>
      <c r="N135" s="2"/>
      <c r="O135" s="2"/>
      <c r="P135" s="2"/>
      <c r="Q135" s="2"/>
      <c r="R135" s="2"/>
      <c r="S135" s="5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ht="12" customHeight="1" x14ac:dyDescent="0.3">
      <c r="A136" s="2"/>
      <c r="B136" s="3"/>
      <c r="D136" s="3"/>
      <c r="E136" s="2"/>
      <c r="F136" s="2"/>
      <c r="G136" s="2"/>
      <c r="H136" s="2"/>
      <c r="I136" s="2"/>
      <c r="J136" s="3"/>
      <c r="K136" s="53"/>
      <c r="L136" s="53"/>
      <c r="M136" s="2"/>
      <c r="N136" s="2"/>
      <c r="O136" s="2"/>
      <c r="P136" s="2"/>
      <c r="Q136" s="2"/>
      <c r="R136" s="2"/>
      <c r="S136" s="5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ht="12" customHeight="1" x14ac:dyDescent="0.3">
      <c r="A137" s="2"/>
      <c r="B137" s="3"/>
      <c r="D137" s="3"/>
      <c r="E137" s="2"/>
      <c r="F137" s="2"/>
      <c r="G137" s="2"/>
      <c r="H137" s="2"/>
      <c r="I137" s="2"/>
      <c r="J137" s="3"/>
      <c r="K137" s="53"/>
      <c r="L137" s="53"/>
      <c r="M137" s="2"/>
      <c r="N137" s="2"/>
      <c r="O137" s="2"/>
      <c r="P137" s="2"/>
      <c r="Q137" s="2"/>
      <c r="R137" s="2"/>
      <c r="S137" s="5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ht="12" customHeight="1" x14ac:dyDescent="0.3">
      <c r="A138" s="2"/>
      <c r="B138" s="3"/>
      <c r="D138" s="3"/>
      <c r="E138" s="2"/>
      <c r="F138" s="2"/>
      <c r="G138" s="2"/>
      <c r="H138" s="2"/>
      <c r="I138" s="2"/>
      <c r="J138" s="3"/>
      <c r="K138" s="53"/>
      <c r="L138" s="53"/>
      <c r="M138" s="2"/>
      <c r="N138" s="2"/>
      <c r="O138" s="2"/>
      <c r="P138" s="2"/>
      <c r="Q138" s="2"/>
      <c r="R138" s="2"/>
      <c r="S138" s="5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ht="12" customHeight="1" x14ac:dyDescent="0.3">
      <c r="A139" s="2"/>
      <c r="B139" s="3"/>
      <c r="D139" s="3"/>
      <c r="E139" s="2"/>
      <c r="F139" s="2"/>
      <c r="G139" s="2"/>
      <c r="H139" s="2"/>
      <c r="I139" s="2"/>
      <c r="J139" s="3"/>
      <c r="K139" s="53"/>
      <c r="L139" s="53"/>
      <c r="M139" s="2"/>
      <c r="N139" s="2"/>
      <c r="O139" s="2"/>
      <c r="P139" s="2"/>
      <c r="Q139" s="2"/>
      <c r="R139" s="2"/>
      <c r="S139" s="5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ht="12" customHeight="1" x14ac:dyDescent="0.3">
      <c r="A140" s="2"/>
      <c r="B140" s="3"/>
      <c r="D140" s="3"/>
      <c r="E140" s="2"/>
      <c r="F140" s="2"/>
      <c r="G140" s="2"/>
      <c r="H140" s="2"/>
      <c r="I140" s="2"/>
      <c r="J140" s="3"/>
      <c r="K140" s="53"/>
      <c r="L140" s="53"/>
      <c r="M140" s="2"/>
      <c r="N140" s="2"/>
      <c r="O140" s="2"/>
      <c r="P140" s="2"/>
      <c r="Q140" s="2"/>
      <c r="R140" s="2"/>
      <c r="S140" s="5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ht="12" customHeight="1" x14ac:dyDescent="0.3">
      <c r="A141" s="2"/>
      <c r="B141" s="3"/>
      <c r="D141" s="3"/>
      <c r="E141" s="2"/>
      <c r="F141" s="2"/>
      <c r="G141" s="2"/>
      <c r="H141" s="2"/>
      <c r="I141" s="2"/>
      <c r="J141" s="3"/>
      <c r="K141" s="53"/>
      <c r="L141" s="53"/>
      <c r="M141" s="2"/>
      <c r="N141" s="2"/>
      <c r="O141" s="2"/>
      <c r="P141" s="2"/>
      <c r="Q141" s="2"/>
      <c r="R141" s="2"/>
      <c r="S141" s="5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ht="12" customHeight="1" x14ac:dyDescent="0.3">
      <c r="A142" s="2"/>
      <c r="B142" s="3"/>
      <c r="D142" s="3"/>
      <c r="E142" s="2"/>
      <c r="F142" s="2"/>
      <c r="G142" s="2"/>
      <c r="H142" s="2"/>
      <c r="I142" s="2"/>
      <c r="J142" s="3"/>
      <c r="K142" s="53"/>
      <c r="L142" s="53"/>
      <c r="M142" s="2"/>
      <c r="N142" s="2"/>
      <c r="O142" s="2"/>
      <c r="P142" s="2"/>
      <c r="Q142" s="2"/>
      <c r="R142" s="2"/>
      <c r="S142" s="5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ht="12" customHeight="1" x14ac:dyDescent="0.3">
      <c r="A143" s="2"/>
      <c r="B143" s="3"/>
      <c r="D143" s="3"/>
      <c r="E143" s="2"/>
      <c r="F143" s="2"/>
      <c r="G143" s="2"/>
      <c r="H143" s="2"/>
      <c r="I143" s="2"/>
      <c r="J143" s="3"/>
      <c r="K143" s="53"/>
      <c r="L143" s="53"/>
      <c r="M143" s="2"/>
      <c r="N143" s="2"/>
      <c r="O143" s="2"/>
      <c r="P143" s="2"/>
      <c r="Q143" s="2"/>
      <c r="R143" s="2"/>
      <c r="S143" s="5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ht="12" customHeight="1" x14ac:dyDescent="0.3">
      <c r="A144" s="2"/>
      <c r="B144" s="3"/>
      <c r="D144" s="3"/>
      <c r="E144" s="2"/>
      <c r="F144" s="2"/>
      <c r="G144" s="2"/>
      <c r="H144" s="2"/>
      <c r="I144" s="2"/>
      <c r="J144" s="3"/>
      <c r="K144" s="53"/>
      <c r="L144" s="53"/>
      <c r="M144" s="2"/>
      <c r="N144" s="2"/>
      <c r="O144" s="2"/>
      <c r="P144" s="2"/>
      <c r="Q144" s="2"/>
      <c r="R144" s="2"/>
      <c r="S144" s="5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ht="12" customHeight="1" x14ac:dyDescent="0.3">
      <c r="A145" s="2"/>
      <c r="B145" s="3"/>
      <c r="D145" s="3"/>
      <c r="E145" s="2"/>
      <c r="F145" s="2"/>
      <c r="G145" s="2"/>
      <c r="H145" s="2"/>
      <c r="I145" s="2"/>
      <c r="J145" s="3"/>
      <c r="K145" s="53"/>
      <c r="L145" s="53"/>
      <c r="M145" s="2"/>
      <c r="N145" s="2"/>
      <c r="O145" s="2"/>
      <c r="P145" s="2"/>
      <c r="Q145" s="2"/>
      <c r="R145" s="2"/>
      <c r="S145" s="5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ht="12" customHeight="1" x14ac:dyDescent="0.3">
      <c r="A146" s="2"/>
      <c r="B146" s="3"/>
      <c r="D146" s="3"/>
      <c r="E146" s="2"/>
      <c r="F146" s="2"/>
      <c r="G146" s="2"/>
      <c r="H146" s="2"/>
      <c r="I146" s="2"/>
      <c r="J146" s="3"/>
      <c r="K146" s="53"/>
      <c r="L146" s="53"/>
      <c r="M146" s="2"/>
      <c r="N146" s="2"/>
      <c r="O146" s="2"/>
      <c r="P146" s="2"/>
      <c r="Q146" s="2"/>
      <c r="R146" s="2"/>
      <c r="S146" s="5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ht="12" customHeight="1" x14ac:dyDescent="0.3">
      <c r="A147" s="2"/>
      <c r="B147" s="3"/>
      <c r="D147" s="3"/>
      <c r="E147" s="2"/>
      <c r="F147" s="2"/>
      <c r="G147" s="2"/>
      <c r="H147" s="2"/>
      <c r="I147" s="2"/>
      <c r="J147" s="3"/>
      <c r="K147" s="53"/>
      <c r="L147" s="53"/>
      <c r="M147" s="2"/>
      <c r="N147" s="2"/>
      <c r="O147" s="2"/>
      <c r="P147" s="2"/>
      <c r="Q147" s="2"/>
      <c r="R147" s="2"/>
      <c r="S147" s="5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ht="12" customHeight="1" x14ac:dyDescent="0.3">
      <c r="A148" s="2"/>
      <c r="B148" s="3"/>
      <c r="D148" s="3"/>
      <c r="E148" s="2"/>
      <c r="F148" s="2"/>
      <c r="G148" s="2"/>
      <c r="H148" s="2"/>
      <c r="I148" s="2"/>
      <c r="J148" s="3"/>
      <c r="K148" s="53"/>
      <c r="L148" s="53"/>
      <c r="M148" s="2"/>
      <c r="N148" s="2"/>
      <c r="O148" s="2"/>
      <c r="P148" s="2"/>
      <c r="Q148" s="2"/>
      <c r="R148" s="2"/>
      <c r="S148" s="5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ht="12" customHeight="1" x14ac:dyDescent="0.3">
      <c r="A149" s="2"/>
      <c r="B149" s="3"/>
      <c r="D149" s="3"/>
      <c r="E149" s="2"/>
      <c r="F149" s="2"/>
      <c r="G149" s="2"/>
      <c r="H149" s="2"/>
      <c r="I149" s="2"/>
      <c r="J149" s="3"/>
      <c r="K149" s="53"/>
      <c r="L149" s="53"/>
      <c r="M149" s="2"/>
      <c r="N149" s="2"/>
      <c r="O149" s="2"/>
      <c r="P149" s="2"/>
      <c r="Q149" s="2"/>
      <c r="R149" s="2"/>
      <c r="S149" s="5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ht="12" customHeight="1" x14ac:dyDescent="0.3">
      <c r="A150" s="2"/>
      <c r="B150" s="3"/>
      <c r="D150" s="3"/>
      <c r="E150" s="2"/>
      <c r="F150" s="2"/>
      <c r="G150" s="2"/>
      <c r="H150" s="2"/>
      <c r="I150" s="2"/>
      <c r="J150" s="3"/>
      <c r="K150" s="53"/>
      <c r="L150" s="53"/>
      <c r="M150" s="2"/>
      <c r="N150" s="2"/>
      <c r="O150" s="2"/>
      <c r="P150" s="2"/>
      <c r="Q150" s="2"/>
      <c r="R150" s="2"/>
      <c r="S150" s="5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ht="12" customHeight="1" x14ac:dyDescent="0.3">
      <c r="A151" s="2"/>
      <c r="B151" s="3"/>
      <c r="D151" s="3"/>
      <c r="E151" s="2"/>
      <c r="F151" s="2"/>
      <c r="G151" s="2"/>
      <c r="H151" s="2"/>
      <c r="I151" s="2"/>
      <c r="J151" s="3"/>
      <c r="K151" s="53"/>
      <c r="L151" s="53"/>
      <c r="M151" s="2"/>
      <c r="N151" s="2"/>
      <c r="O151" s="2"/>
      <c r="P151" s="2"/>
      <c r="Q151" s="2"/>
      <c r="R151" s="2"/>
      <c r="S151" s="5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ht="12" customHeight="1" x14ac:dyDescent="0.3">
      <c r="A152" s="2"/>
      <c r="B152" s="3"/>
      <c r="D152" s="3"/>
      <c r="E152" s="2"/>
      <c r="F152" s="2"/>
      <c r="G152" s="2"/>
      <c r="H152" s="2"/>
      <c r="I152" s="2"/>
      <c r="J152" s="3"/>
      <c r="K152" s="53"/>
      <c r="L152" s="53"/>
      <c r="M152" s="2"/>
      <c r="N152" s="2"/>
      <c r="O152" s="2"/>
      <c r="P152" s="2"/>
      <c r="Q152" s="2"/>
      <c r="R152" s="2"/>
      <c r="S152" s="5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ht="12" customHeight="1" x14ac:dyDescent="0.3">
      <c r="A153" s="2"/>
      <c r="B153" s="3"/>
      <c r="D153" s="3"/>
      <c r="E153" s="2"/>
      <c r="F153" s="2"/>
      <c r="G153" s="2"/>
      <c r="H153" s="2"/>
      <c r="I153" s="2"/>
      <c r="J153" s="3"/>
      <c r="K153" s="53"/>
      <c r="L153" s="53"/>
      <c r="M153" s="2"/>
      <c r="N153" s="2"/>
      <c r="O153" s="2"/>
      <c r="P153" s="2"/>
      <c r="Q153" s="2"/>
      <c r="R153" s="2"/>
      <c r="S153" s="5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ht="12" customHeight="1" x14ac:dyDescent="0.3">
      <c r="A154" s="2"/>
      <c r="B154" s="3"/>
      <c r="D154" s="3"/>
      <c r="E154" s="2"/>
      <c r="F154" s="2"/>
      <c r="G154" s="2"/>
      <c r="H154" s="2"/>
      <c r="I154" s="2"/>
      <c r="J154" s="3"/>
      <c r="K154" s="53"/>
      <c r="L154" s="53"/>
      <c r="M154" s="2"/>
      <c r="N154" s="2"/>
      <c r="O154" s="2"/>
      <c r="P154" s="2"/>
      <c r="Q154" s="2"/>
      <c r="R154" s="2"/>
      <c r="S154" s="5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ht="12" customHeight="1" x14ac:dyDescent="0.3">
      <c r="A155" s="2"/>
      <c r="B155" s="3"/>
      <c r="D155" s="3"/>
      <c r="E155" s="2"/>
      <c r="F155" s="2"/>
      <c r="G155" s="2"/>
      <c r="H155" s="2"/>
      <c r="I155" s="2"/>
      <c r="J155" s="3"/>
      <c r="K155" s="53"/>
      <c r="L155" s="53"/>
      <c r="M155" s="2"/>
      <c r="N155" s="2"/>
      <c r="O155" s="2"/>
      <c r="P155" s="2"/>
      <c r="Q155" s="2"/>
      <c r="R155" s="2"/>
      <c r="S155" s="5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ht="12" customHeight="1" x14ac:dyDescent="0.3">
      <c r="A156" s="2"/>
      <c r="B156" s="3"/>
      <c r="D156" s="3"/>
      <c r="E156" s="2"/>
      <c r="F156" s="2"/>
      <c r="G156" s="2"/>
      <c r="H156" s="2"/>
      <c r="I156" s="2"/>
      <c r="J156" s="3"/>
      <c r="K156" s="53"/>
      <c r="L156" s="53"/>
      <c r="M156" s="2"/>
      <c r="N156" s="2"/>
      <c r="O156" s="2"/>
      <c r="P156" s="2"/>
      <c r="Q156" s="2"/>
      <c r="R156" s="2"/>
      <c r="S156" s="5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ht="12" customHeight="1" x14ac:dyDescent="0.3">
      <c r="A157" s="2"/>
      <c r="B157" s="3"/>
      <c r="D157" s="3"/>
      <c r="E157" s="2"/>
      <c r="F157" s="2"/>
      <c r="G157" s="2"/>
      <c r="H157" s="2"/>
      <c r="I157" s="2"/>
      <c r="J157" s="3"/>
      <c r="K157" s="53"/>
      <c r="L157" s="53"/>
      <c r="M157" s="2"/>
      <c r="N157" s="2"/>
      <c r="O157" s="2"/>
      <c r="P157" s="2"/>
      <c r="Q157" s="2"/>
      <c r="R157" s="2"/>
      <c r="S157" s="5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ht="12" customHeight="1" x14ac:dyDescent="0.3">
      <c r="A158" s="2"/>
      <c r="B158" s="3"/>
      <c r="D158" s="3"/>
      <c r="E158" s="2"/>
      <c r="F158" s="2"/>
      <c r="G158" s="2"/>
      <c r="H158" s="2"/>
      <c r="I158" s="2"/>
      <c r="J158" s="3"/>
      <c r="K158" s="53"/>
      <c r="L158" s="53"/>
      <c r="M158" s="2"/>
      <c r="N158" s="2"/>
      <c r="O158" s="2"/>
      <c r="P158" s="2"/>
      <c r="Q158" s="2"/>
      <c r="R158" s="2"/>
      <c r="S158" s="5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ht="12" customHeight="1" x14ac:dyDescent="0.3">
      <c r="A159" s="2"/>
      <c r="B159" s="3"/>
      <c r="D159" s="3"/>
      <c r="E159" s="2"/>
      <c r="F159" s="2"/>
      <c r="G159" s="2"/>
      <c r="H159" s="2"/>
      <c r="I159" s="2"/>
      <c r="J159" s="3"/>
      <c r="K159" s="53"/>
      <c r="L159" s="53"/>
      <c r="M159" s="2"/>
      <c r="N159" s="2"/>
      <c r="O159" s="2"/>
      <c r="P159" s="2"/>
      <c r="Q159" s="2"/>
      <c r="R159" s="2"/>
      <c r="S159" s="5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ht="12" customHeight="1" x14ac:dyDescent="0.3">
      <c r="A160" s="2"/>
      <c r="B160" s="3"/>
      <c r="D160" s="3"/>
      <c r="E160" s="2"/>
      <c r="F160" s="2"/>
      <c r="G160" s="2"/>
      <c r="H160" s="2"/>
      <c r="I160" s="2"/>
      <c r="J160" s="3"/>
      <c r="K160" s="53"/>
      <c r="L160" s="53"/>
      <c r="M160" s="2"/>
      <c r="N160" s="2"/>
      <c r="O160" s="2"/>
      <c r="P160" s="2"/>
      <c r="Q160" s="2"/>
      <c r="R160" s="2"/>
      <c r="S160" s="5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ht="12" customHeight="1" x14ac:dyDescent="0.3">
      <c r="A161" s="2"/>
      <c r="B161" s="3"/>
      <c r="D161" s="3"/>
      <c r="E161" s="2"/>
      <c r="F161" s="2"/>
      <c r="G161" s="2"/>
      <c r="H161" s="2"/>
      <c r="I161" s="2"/>
      <c r="J161" s="3"/>
      <c r="K161" s="53"/>
      <c r="L161" s="53"/>
      <c r="M161" s="2"/>
      <c r="N161" s="2"/>
      <c r="O161" s="2"/>
      <c r="P161" s="2"/>
      <c r="Q161" s="2"/>
      <c r="R161" s="2"/>
      <c r="S161" s="5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ht="12" customHeight="1" x14ac:dyDescent="0.3">
      <c r="A162" s="2"/>
      <c r="B162" s="3"/>
      <c r="D162" s="3"/>
      <c r="E162" s="2"/>
      <c r="F162" s="2"/>
      <c r="G162" s="2"/>
      <c r="H162" s="2"/>
      <c r="I162" s="2"/>
      <c r="J162" s="3"/>
      <c r="K162" s="53"/>
      <c r="L162" s="53"/>
      <c r="M162" s="2"/>
      <c r="N162" s="2"/>
      <c r="O162" s="2"/>
      <c r="P162" s="2"/>
      <c r="Q162" s="2"/>
      <c r="R162" s="2"/>
      <c r="S162" s="5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ht="12" customHeight="1" x14ac:dyDescent="0.3">
      <c r="A163" s="2"/>
      <c r="B163" s="3"/>
      <c r="D163" s="3"/>
      <c r="E163" s="2"/>
      <c r="F163" s="2"/>
      <c r="G163" s="2"/>
      <c r="H163" s="2"/>
      <c r="I163" s="2"/>
      <c r="J163" s="3"/>
      <c r="K163" s="53"/>
      <c r="L163" s="53"/>
      <c r="M163" s="2"/>
      <c r="N163" s="2"/>
      <c r="O163" s="2"/>
      <c r="P163" s="2"/>
      <c r="Q163" s="2"/>
      <c r="R163" s="2"/>
      <c r="S163" s="5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ht="12" customHeight="1" x14ac:dyDescent="0.3">
      <c r="A164" s="2"/>
      <c r="B164" s="3"/>
      <c r="D164" s="3"/>
      <c r="E164" s="2"/>
      <c r="F164" s="2"/>
      <c r="G164" s="2"/>
      <c r="H164" s="2"/>
      <c r="I164" s="2"/>
      <c r="J164" s="3"/>
      <c r="K164" s="53"/>
      <c r="L164" s="53"/>
      <c r="M164" s="2"/>
      <c r="N164" s="2"/>
      <c r="O164" s="2"/>
      <c r="P164" s="2"/>
      <c r="Q164" s="2"/>
      <c r="R164" s="2"/>
      <c r="S164" s="5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ht="12" customHeight="1" x14ac:dyDescent="0.3">
      <c r="A165" s="2"/>
      <c r="B165" s="3"/>
      <c r="D165" s="3"/>
      <c r="E165" s="2"/>
      <c r="F165" s="2"/>
      <c r="G165" s="2"/>
      <c r="H165" s="2"/>
      <c r="I165" s="2"/>
      <c r="J165" s="3"/>
      <c r="K165" s="53"/>
      <c r="L165" s="53"/>
      <c r="M165" s="2"/>
      <c r="N165" s="2"/>
      <c r="O165" s="2"/>
      <c r="P165" s="2"/>
      <c r="Q165" s="2"/>
      <c r="R165" s="2"/>
      <c r="S165" s="5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ht="12" customHeight="1" x14ac:dyDescent="0.3">
      <c r="A166" s="2"/>
      <c r="B166" s="3"/>
      <c r="D166" s="3"/>
      <c r="E166" s="2"/>
      <c r="F166" s="2"/>
      <c r="G166" s="2"/>
      <c r="H166" s="2"/>
      <c r="I166" s="2"/>
      <c r="J166" s="3"/>
      <c r="K166" s="53"/>
      <c r="L166" s="53"/>
      <c r="M166" s="2"/>
      <c r="N166" s="2"/>
      <c r="O166" s="2"/>
      <c r="P166" s="2"/>
      <c r="Q166" s="2"/>
      <c r="R166" s="2"/>
      <c r="S166" s="5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ht="12" customHeight="1" x14ac:dyDescent="0.3">
      <c r="A167" s="2"/>
      <c r="B167" s="3"/>
      <c r="D167" s="3"/>
      <c r="E167" s="2"/>
      <c r="F167" s="2"/>
      <c r="G167" s="2"/>
      <c r="H167" s="2"/>
      <c r="I167" s="2"/>
      <c r="J167" s="3"/>
      <c r="K167" s="53"/>
      <c r="L167" s="53"/>
      <c r="M167" s="2"/>
      <c r="N167" s="2"/>
      <c r="O167" s="2"/>
      <c r="P167" s="2"/>
      <c r="Q167" s="2"/>
      <c r="R167" s="2"/>
      <c r="S167" s="5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ht="12" customHeight="1" x14ac:dyDescent="0.3">
      <c r="A168" s="2"/>
      <c r="B168" s="3"/>
      <c r="D168" s="3"/>
      <c r="E168" s="2"/>
      <c r="F168" s="2"/>
      <c r="G168" s="2"/>
      <c r="H168" s="2"/>
      <c r="I168" s="2"/>
      <c r="J168" s="3"/>
      <c r="K168" s="53"/>
      <c r="L168" s="53"/>
      <c r="M168" s="2"/>
      <c r="N168" s="2"/>
      <c r="O168" s="2"/>
      <c r="P168" s="2"/>
      <c r="Q168" s="2"/>
      <c r="R168" s="2"/>
      <c r="S168" s="5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ht="12" customHeight="1" x14ac:dyDescent="0.3">
      <c r="A169" s="2"/>
      <c r="B169" s="3"/>
      <c r="D169" s="3"/>
      <c r="E169" s="2"/>
      <c r="F169" s="2"/>
      <c r="G169" s="2"/>
      <c r="H169" s="2"/>
      <c r="I169" s="2"/>
      <c r="J169" s="3"/>
      <c r="K169" s="53"/>
      <c r="L169" s="53"/>
      <c r="M169" s="2"/>
      <c r="N169" s="2"/>
      <c r="O169" s="2"/>
      <c r="P169" s="2"/>
      <c r="Q169" s="2"/>
      <c r="R169" s="2"/>
      <c r="S169" s="5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ht="12" customHeight="1" x14ac:dyDescent="0.3">
      <c r="A170" s="2"/>
      <c r="B170" s="3"/>
      <c r="D170" s="3"/>
      <c r="E170" s="2"/>
      <c r="F170" s="2"/>
      <c r="G170" s="2"/>
      <c r="H170" s="2"/>
      <c r="I170" s="2"/>
      <c r="J170" s="3"/>
      <c r="K170" s="53"/>
      <c r="L170" s="53"/>
      <c r="M170" s="2"/>
      <c r="N170" s="2"/>
      <c r="O170" s="2"/>
      <c r="P170" s="2"/>
      <c r="Q170" s="2"/>
      <c r="R170" s="2"/>
      <c r="S170" s="5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ht="12" customHeight="1" x14ac:dyDescent="0.3">
      <c r="A171" s="2"/>
      <c r="B171" s="3"/>
      <c r="D171" s="3"/>
      <c r="E171" s="2"/>
      <c r="F171" s="2"/>
      <c r="G171" s="2"/>
      <c r="H171" s="2"/>
      <c r="I171" s="2"/>
      <c r="J171" s="3"/>
      <c r="K171" s="53"/>
      <c r="L171" s="53"/>
      <c r="M171" s="2"/>
      <c r="N171" s="2"/>
      <c r="O171" s="2"/>
      <c r="P171" s="2"/>
      <c r="Q171" s="2"/>
      <c r="R171" s="2"/>
      <c r="S171" s="5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ht="12" customHeight="1" x14ac:dyDescent="0.3">
      <c r="A172" s="2"/>
      <c r="B172" s="3"/>
      <c r="D172" s="3"/>
      <c r="E172" s="2"/>
      <c r="F172" s="2"/>
      <c r="G172" s="2"/>
      <c r="H172" s="2"/>
      <c r="I172" s="2"/>
      <c r="J172" s="3"/>
      <c r="K172" s="53"/>
      <c r="L172" s="53"/>
      <c r="M172" s="2"/>
      <c r="N172" s="2"/>
      <c r="O172" s="2"/>
      <c r="P172" s="2"/>
      <c r="Q172" s="2"/>
      <c r="R172" s="2"/>
      <c r="S172" s="5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ht="12" customHeight="1" x14ac:dyDescent="0.3">
      <c r="A173" s="2"/>
      <c r="B173" s="3"/>
      <c r="D173" s="3"/>
      <c r="E173" s="2"/>
      <c r="F173" s="2"/>
      <c r="G173" s="2"/>
      <c r="H173" s="2"/>
      <c r="I173" s="2"/>
      <c r="J173" s="3"/>
      <c r="K173" s="53"/>
      <c r="L173" s="53"/>
      <c r="M173" s="2"/>
      <c r="N173" s="2"/>
      <c r="O173" s="2"/>
      <c r="P173" s="2"/>
      <c r="Q173" s="2"/>
      <c r="R173" s="2"/>
      <c r="S173" s="5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ht="12" customHeight="1" x14ac:dyDescent="0.3">
      <c r="A174" s="2"/>
      <c r="B174" s="3"/>
      <c r="D174" s="3"/>
      <c r="E174" s="2"/>
      <c r="F174" s="2"/>
      <c r="G174" s="2"/>
      <c r="H174" s="2"/>
      <c r="I174" s="2"/>
      <c r="J174" s="3"/>
      <c r="K174" s="53"/>
      <c r="L174" s="53"/>
      <c r="M174" s="2"/>
      <c r="N174" s="2"/>
      <c r="O174" s="2"/>
      <c r="P174" s="2"/>
      <c r="Q174" s="2"/>
      <c r="R174" s="2"/>
      <c r="S174" s="5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ht="12" customHeight="1" x14ac:dyDescent="0.3">
      <c r="A175" s="2"/>
      <c r="B175" s="3"/>
      <c r="D175" s="3"/>
      <c r="E175" s="2"/>
      <c r="F175" s="2"/>
      <c r="G175" s="2"/>
      <c r="H175" s="2"/>
      <c r="I175" s="2"/>
      <c r="J175" s="3"/>
      <c r="K175" s="53"/>
      <c r="L175" s="53"/>
      <c r="M175" s="2"/>
      <c r="N175" s="2"/>
      <c r="O175" s="2"/>
      <c r="P175" s="2"/>
      <c r="Q175" s="2"/>
      <c r="R175" s="2"/>
      <c r="S175" s="5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ht="12" customHeight="1" x14ac:dyDescent="0.3">
      <c r="A176" s="2"/>
      <c r="B176" s="3"/>
      <c r="D176" s="3"/>
      <c r="E176" s="2"/>
      <c r="F176" s="2"/>
      <c r="G176" s="2"/>
      <c r="H176" s="2"/>
      <c r="I176" s="2"/>
      <c r="J176" s="3"/>
      <c r="K176" s="53"/>
      <c r="L176" s="53"/>
      <c r="M176" s="2"/>
      <c r="N176" s="2"/>
      <c r="O176" s="2"/>
      <c r="P176" s="2"/>
      <c r="Q176" s="2"/>
      <c r="R176" s="2"/>
      <c r="S176" s="5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ht="12" customHeight="1" x14ac:dyDescent="0.3">
      <c r="A177" s="2"/>
      <c r="B177" s="3"/>
      <c r="D177" s="3"/>
      <c r="E177" s="2"/>
      <c r="F177" s="2"/>
      <c r="G177" s="2"/>
      <c r="H177" s="2"/>
      <c r="I177" s="2"/>
      <c r="J177" s="3"/>
      <c r="K177" s="53"/>
      <c r="L177" s="53"/>
      <c r="M177" s="2"/>
      <c r="N177" s="2"/>
      <c r="O177" s="2"/>
      <c r="P177" s="2"/>
      <c r="Q177" s="2"/>
      <c r="R177" s="2"/>
      <c r="S177" s="5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ht="12" customHeight="1" x14ac:dyDescent="0.3">
      <c r="A178" s="2"/>
      <c r="B178" s="3"/>
      <c r="D178" s="3"/>
      <c r="E178" s="2"/>
      <c r="F178" s="2"/>
      <c r="G178" s="2"/>
      <c r="H178" s="2"/>
      <c r="I178" s="2"/>
      <c r="J178" s="3"/>
      <c r="K178" s="53"/>
      <c r="L178" s="53"/>
      <c r="M178" s="2"/>
      <c r="N178" s="2"/>
      <c r="O178" s="2"/>
      <c r="P178" s="2"/>
      <c r="Q178" s="2"/>
      <c r="R178" s="2"/>
      <c r="S178" s="5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ht="12" customHeight="1" x14ac:dyDescent="0.3">
      <c r="A179" s="2"/>
      <c r="B179" s="3"/>
      <c r="D179" s="3"/>
      <c r="E179" s="2"/>
      <c r="F179" s="2"/>
      <c r="G179" s="2"/>
      <c r="H179" s="2"/>
      <c r="I179" s="2"/>
      <c r="J179" s="3"/>
      <c r="K179" s="53"/>
      <c r="L179" s="53"/>
      <c r="M179" s="2"/>
      <c r="N179" s="2"/>
      <c r="O179" s="2"/>
      <c r="P179" s="2"/>
      <c r="Q179" s="2"/>
      <c r="R179" s="2"/>
      <c r="S179" s="5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ht="12" customHeight="1" x14ac:dyDescent="0.3">
      <c r="A180" s="2"/>
      <c r="B180" s="3"/>
      <c r="D180" s="3"/>
      <c r="E180" s="2"/>
      <c r="F180" s="2"/>
      <c r="G180" s="2"/>
      <c r="H180" s="2"/>
      <c r="I180" s="2"/>
      <c r="J180" s="3"/>
      <c r="K180" s="53"/>
      <c r="L180" s="53"/>
      <c r="M180" s="2"/>
      <c r="N180" s="2"/>
      <c r="O180" s="2"/>
      <c r="P180" s="2"/>
      <c r="Q180" s="2"/>
      <c r="R180" s="2"/>
      <c r="S180" s="5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ht="12" customHeight="1" x14ac:dyDescent="0.3">
      <c r="A181" s="2"/>
      <c r="B181" s="3"/>
      <c r="D181" s="3"/>
      <c r="E181" s="2"/>
      <c r="F181" s="2"/>
      <c r="G181" s="2"/>
      <c r="H181" s="2"/>
      <c r="I181" s="2"/>
      <c r="J181" s="3"/>
      <c r="K181" s="53"/>
      <c r="L181" s="53"/>
      <c r="M181" s="2"/>
      <c r="N181" s="2"/>
      <c r="O181" s="2"/>
      <c r="P181" s="2"/>
      <c r="Q181" s="2"/>
      <c r="R181" s="2"/>
      <c r="S181" s="5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ht="12" customHeight="1" x14ac:dyDescent="0.3">
      <c r="A182" s="2"/>
      <c r="B182" s="3"/>
      <c r="D182" s="3"/>
      <c r="E182" s="2"/>
      <c r="F182" s="2"/>
      <c r="G182" s="2"/>
      <c r="H182" s="2"/>
      <c r="I182" s="2"/>
      <c r="J182" s="3"/>
      <c r="K182" s="53"/>
      <c r="L182" s="53"/>
      <c r="M182" s="2"/>
      <c r="N182" s="2"/>
      <c r="O182" s="2"/>
      <c r="P182" s="2"/>
      <c r="Q182" s="2"/>
      <c r="R182" s="2"/>
      <c r="S182" s="5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ht="12" customHeight="1" x14ac:dyDescent="0.3">
      <c r="A183" s="2"/>
      <c r="B183" s="3"/>
      <c r="D183" s="3"/>
      <c r="E183" s="2"/>
      <c r="F183" s="2"/>
      <c r="G183" s="2"/>
      <c r="H183" s="2"/>
      <c r="I183" s="2"/>
      <c r="J183" s="3"/>
      <c r="K183" s="53"/>
      <c r="L183" s="53"/>
      <c r="M183" s="2"/>
      <c r="N183" s="2"/>
      <c r="O183" s="2"/>
      <c r="P183" s="2"/>
      <c r="Q183" s="2"/>
      <c r="R183" s="2"/>
      <c r="S183" s="5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ht="12" customHeight="1" x14ac:dyDescent="0.3">
      <c r="A184" s="2"/>
      <c r="B184" s="3"/>
      <c r="D184" s="3"/>
      <c r="E184" s="2"/>
      <c r="F184" s="2"/>
      <c r="G184" s="2"/>
      <c r="H184" s="2"/>
      <c r="I184" s="2"/>
      <c r="J184" s="3"/>
      <c r="K184" s="53"/>
      <c r="L184" s="53"/>
      <c r="M184" s="2"/>
      <c r="N184" s="2"/>
      <c r="O184" s="2"/>
      <c r="P184" s="2"/>
      <c r="Q184" s="2"/>
      <c r="R184" s="2"/>
      <c r="S184" s="5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ht="12" customHeight="1" x14ac:dyDescent="0.3">
      <c r="A185" s="2"/>
      <c r="B185" s="3"/>
      <c r="D185" s="3"/>
      <c r="E185" s="2"/>
      <c r="F185" s="2"/>
      <c r="G185" s="2"/>
      <c r="H185" s="2"/>
      <c r="I185" s="2"/>
      <c r="J185" s="3"/>
      <c r="K185" s="53"/>
      <c r="L185" s="53"/>
      <c r="M185" s="2"/>
      <c r="N185" s="2"/>
      <c r="O185" s="2"/>
      <c r="P185" s="2"/>
      <c r="Q185" s="2"/>
      <c r="R185" s="2"/>
      <c r="S185" s="5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ht="12" customHeight="1" x14ac:dyDescent="0.3">
      <c r="A186" s="2"/>
      <c r="B186" s="3"/>
      <c r="D186" s="3"/>
      <c r="E186" s="2"/>
      <c r="F186" s="2"/>
      <c r="G186" s="2"/>
      <c r="H186" s="2"/>
      <c r="I186" s="2"/>
      <c r="J186" s="3"/>
      <c r="K186" s="53"/>
      <c r="L186" s="53"/>
      <c r="M186" s="2"/>
      <c r="N186" s="2"/>
      <c r="O186" s="2"/>
      <c r="P186" s="2"/>
      <c r="Q186" s="2"/>
      <c r="R186" s="2"/>
      <c r="S186" s="5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ht="12" customHeight="1" x14ac:dyDescent="0.3">
      <c r="A187" s="2"/>
      <c r="B187" s="3"/>
      <c r="D187" s="3"/>
      <c r="E187" s="2"/>
      <c r="F187" s="2"/>
      <c r="G187" s="2"/>
      <c r="H187" s="2"/>
      <c r="I187" s="2"/>
      <c r="J187" s="3"/>
      <c r="K187" s="53"/>
      <c r="L187" s="53"/>
      <c r="M187" s="2"/>
      <c r="N187" s="2"/>
      <c r="O187" s="2"/>
      <c r="P187" s="2"/>
      <c r="Q187" s="2"/>
      <c r="R187" s="2"/>
      <c r="S187" s="5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ht="12" customHeight="1" x14ac:dyDescent="0.3">
      <c r="A188" s="2"/>
      <c r="B188" s="3"/>
      <c r="D188" s="3"/>
      <c r="E188" s="2"/>
      <c r="F188" s="2"/>
      <c r="G188" s="2"/>
      <c r="H188" s="2"/>
      <c r="I188" s="2"/>
      <c r="J188" s="3"/>
      <c r="K188" s="53"/>
      <c r="L188" s="53"/>
      <c r="M188" s="2"/>
      <c r="N188" s="2"/>
      <c r="O188" s="2"/>
      <c r="P188" s="2"/>
      <c r="Q188" s="2"/>
      <c r="R188" s="2"/>
      <c r="S188" s="5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ht="12" customHeight="1" x14ac:dyDescent="0.3">
      <c r="A189" s="2"/>
      <c r="B189" s="3"/>
      <c r="D189" s="3"/>
      <c r="E189" s="2"/>
      <c r="F189" s="2"/>
      <c r="G189" s="2"/>
      <c r="H189" s="2"/>
      <c r="I189" s="2"/>
      <c r="J189" s="3"/>
      <c r="K189" s="53"/>
      <c r="L189" s="53"/>
      <c r="M189" s="2"/>
      <c r="N189" s="2"/>
      <c r="O189" s="2"/>
      <c r="P189" s="2"/>
      <c r="Q189" s="2"/>
      <c r="R189" s="2"/>
      <c r="S189" s="5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ht="12" customHeight="1" x14ac:dyDescent="0.3">
      <c r="A190" s="2"/>
      <c r="B190" s="3"/>
      <c r="D190" s="3"/>
      <c r="E190" s="2"/>
      <c r="F190" s="2"/>
      <c r="G190" s="2"/>
      <c r="H190" s="2"/>
      <c r="I190" s="2"/>
      <c r="J190" s="3"/>
      <c r="K190" s="53"/>
      <c r="L190" s="53"/>
      <c r="M190" s="2"/>
      <c r="N190" s="2"/>
      <c r="O190" s="2"/>
      <c r="P190" s="2"/>
      <c r="Q190" s="2"/>
      <c r="R190" s="2"/>
      <c r="S190" s="5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ht="12" customHeight="1" x14ac:dyDescent="0.3">
      <c r="A191" s="2"/>
      <c r="B191" s="3"/>
      <c r="D191" s="3"/>
      <c r="E191" s="2"/>
      <c r="F191" s="2"/>
      <c r="G191" s="2"/>
      <c r="H191" s="2"/>
      <c r="I191" s="2"/>
      <c r="J191" s="3"/>
      <c r="K191" s="53"/>
      <c r="L191" s="53"/>
      <c r="M191" s="2"/>
      <c r="N191" s="2"/>
      <c r="O191" s="2"/>
      <c r="P191" s="2"/>
      <c r="Q191" s="2"/>
      <c r="R191" s="2"/>
      <c r="S191" s="5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ht="12" customHeight="1" x14ac:dyDescent="0.3">
      <c r="A192" s="2"/>
      <c r="B192" s="3"/>
      <c r="D192" s="3"/>
      <c r="E192" s="2"/>
      <c r="F192" s="2"/>
      <c r="G192" s="2"/>
      <c r="H192" s="2"/>
      <c r="I192" s="2"/>
      <c r="J192" s="3"/>
      <c r="K192" s="53"/>
      <c r="L192" s="53"/>
      <c r="M192" s="2"/>
      <c r="N192" s="2"/>
      <c r="O192" s="2"/>
      <c r="P192" s="2"/>
      <c r="Q192" s="2"/>
      <c r="R192" s="2"/>
      <c r="S192" s="5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ht="12" customHeight="1" x14ac:dyDescent="0.3">
      <c r="A193" s="2"/>
      <c r="B193" s="3"/>
      <c r="D193" s="3"/>
      <c r="E193" s="2"/>
      <c r="F193" s="2"/>
      <c r="G193" s="2"/>
      <c r="H193" s="2"/>
      <c r="I193" s="2"/>
      <c r="J193" s="3"/>
      <c r="K193" s="53"/>
      <c r="L193" s="53"/>
      <c r="M193" s="2"/>
      <c r="N193" s="2"/>
      <c r="O193" s="2"/>
      <c r="P193" s="2"/>
      <c r="Q193" s="2"/>
      <c r="R193" s="2"/>
      <c r="S193" s="5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ht="12" customHeight="1" x14ac:dyDescent="0.3">
      <c r="A194" s="2"/>
      <c r="B194" s="3"/>
      <c r="D194" s="3"/>
      <c r="E194" s="2"/>
      <c r="F194" s="2"/>
      <c r="G194" s="2"/>
      <c r="H194" s="2"/>
      <c r="I194" s="2"/>
      <c r="J194" s="3"/>
      <c r="K194" s="53"/>
      <c r="L194" s="53"/>
      <c r="M194" s="2"/>
      <c r="N194" s="2"/>
      <c r="O194" s="2"/>
      <c r="P194" s="2"/>
      <c r="Q194" s="2"/>
      <c r="R194" s="2"/>
      <c r="S194" s="5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ht="12" customHeight="1" x14ac:dyDescent="0.3">
      <c r="A195" s="2"/>
      <c r="B195" s="3"/>
      <c r="D195" s="3"/>
      <c r="E195" s="2"/>
      <c r="F195" s="2"/>
      <c r="G195" s="2"/>
      <c r="H195" s="2"/>
      <c r="I195" s="2"/>
      <c r="J195" s="3"/>
      <c r="K195" s="53"/>
      <c r="L195" s="53"/>
      <c r="M195" s="2"/>
      <c r="N195" s="2"/>
      <c r="O195" s="2"/>
      <c r="P195" s="2"/>
      <c r="Q195" s="2"/>
      <c r="R195" s="2"/>
      <c r="S195" s="5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ht="12" customHeight="1" x14ac:dyDescent="0.3">
      <c r="A196" s="2"/>
      <c r="B196" s="3"/>
      <c r="D196" s="3"/>
      <c r="E196" s="2"/>
      <c r="F196" s="2"/>
      <c r="G196" s="2"/>
      <c r="H196" s="2"/>
      <c r="I196" s="2"/>
      <c r="J196" s="3"/>
      <c r="K196" s="53"/>
      <c r="L196" s="53"/>
      <c r="M196" s="2"/>
      <c r="N196" s="2"/>
      <c r="O196" s="2"/>
      <c r="P196" s="2"/>
      <c r="Q196" s="2"/>
      <c r="R196" s="2"/>
      <c r="S196" s="5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ht="12" customHeight="1" x14ac:dyDescent="0.3">
      <c r="A197" s="2"/>
      <c r="B197" s="3"/>
      <c r="D197" s="3"/>
      <c r="E197" s="2"/>
      <c r="F197" s="2"/>
      <c r="G197" s="2"/>
      <c r="H197" s="2"/>
      <c r="I197" s="2"/>
      <c r="J197" s="3"/>
      <c r="K197" s="53"/>
      <c r="L197" s="53"/>
      <c r="M197" s="2"/>
      <c r="N197" s="2"/>
      <c r="O197" s="2"/>
      <c r="P197" s="2"/>
      <c r="Q197" s="2"/>
      <c r="R197" s="2"/>
      <c r="S197" s="5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ht="12" customHeight="1" x14ac:dyDescent="0.3">
      <c r="A198" s="2"/>
      <c r="B198" s="3"/>
      <c r="D198" s="3"/>
      <c r="E198" s="2"/>
      <c r="F198" s="2"/>
      <c r="G198" s="2"/>
      <c r="H198" s="2"/>
      <c r="I198" s="2"/>
      <c r="J198" s="3"/>
      <c r="K198" s="53"/>
      <c r="L198" s="53"/>
      <c r="M198" s="2"/>
      <c r="N198" s="2"/>
      <c r="O198" s="2"/>
      <c r="P198" s="2"/>
      <c r="Q198" s="2"/>
      <c r="R198" s="2"/>
      <c r="S198" s="5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ht="12" customHeight="1" x14ac:dyDescent="0.3">
      <c r="A199" s="2"/>
      <c r="B199" s="3"/>
      <c r="D199" s="3"/>
      <c r="E199" s="2"/>
      <c r="F199" s="2"/>
      <c r="G199" s="2"/>
      <c r="H199" s="2"/>
      <c r="I199" s="2"/>
      <c r="J199" s="3"/>
      <c r="K199" s="53"/>
      <c r="L199" s="53"/>
      <c r="M199" s="2"/>
      <c r="N199" s="2"/>
      <c r="O199" s="2"/>
      <c r="P199" s="2"/>
      <c r="Q199" s="2"/>
      <c r="R199" s="2"/>
      <c r="S199" s="5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ht="12" customHeight="1" x14ac:dyDescent="0.3">
      <c r="A200" s="2"/>
      <c r="B200" s="3"/>
      <c r="D200" s="3"/>
      <c r="E200" s="2"/>
      <c r="F200" s="2"/>
      <c r="G200" s="2"/>
      <c r="H200" s="2"/>
      <c r="I200" s="2"/>
      <c r="J200" s="3"/>
      <c r="K200" s="53"/>
      <c r="L200" s="53"/>
      <c r="M200" s="2"/>
      <c r="N200" s="2"/>
      <c r="O200" s="2"/>
      <c r="P200" s="2"/>
      <c r="Q200" s="2"/>
      <c r="R200" s="2"/>
      <c r="S200" s="5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ht="12" customHeight="1" x14ac:dyDescent="0.3">
      <c r="A201" s="2"/>
      <c r="B201" s="3"/>
      <c r="D201" s="3"/>
      <c r="E201" s="2"/>
      <c r="F201" s="2"/>
      <c r="G201" s="2"/>
      <c r="H201" s="2"/>
      <c r="I201" s="2"/>
      <c r="J201" s="3"/>
      <c r="K201" s="53"/>
      <c r="L201" s="53"/>
      <c r="M201" s="2"/>
      <c r="N201" s="2"/>
      <c r="O201" s="2"/>
      <c r="P201" s="2"/>
      <c r="Q201" s="2"/>
      <c r="R201" s="2"/>
      <c r="S201" s="5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ht="12" customHeight="1" x14ac:dyDescent="0.3">
      <c r="A202" s="2"/>
      <c r="B202" s="3"/>
      <c r="D202" s="3"/>
      <c r="E202" s="2"/>
      <c r="F202" s="2"/>
      <c r="G202" s="2"/>
      <c r="H202" s="2"/>
      <c r="I202" s="2"/>
      <c r="J202" s="3"/>
      <c r="K202" s="53"/>
      <c r="L202" s="53"/>
      <c r="M202" s="2"/>
      <c r="N202" s="2"/>
      <c r="O202" s="2"/>
      <c r="P202" s="2"/>
      <c r="Q202" s="2"/>
      <c r="R202" s="2"/>
      <c r="S202" s="5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ht="12" customHeight="1" x14ac:dyDescent="0.3">
      <c r="A203" s="2"/>
      <c r="B203" s="3"/>
      <c r="D203" s="3"/>
      <c r="E203" s="2"/>
      <c r="F203" s="2"/>
      <c r="G203" s="2"/>
      <c r="H203" s="2"/>
      <c r="I203" s="2"/>
      <c r="J203" s="3"/>
      <c r="K203" s="53"/>
      <c r="L203" s="53"/>
      <c r="M203" s="2"/>
      <c r="N203" s="2"/>
      <c r="O203" s="2"/>
      <c r="P203" s="2"/>
      <c r="Q203" s="2"/>
      <c r="R203" s="2"/>
      <c r="S203" s="5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 ht="12" customHeight="1" x14ac:dyDescent="0.3">
      <c r="A204" s="2"/>
      <c r="B204" s="3"/>
      <c r="D204" s="3"/>
      <c r="E204" s="2"/>
      <c r="F204" s="2"/>
      <c r="G204" s="2"/>
      <c r="H204" s="2"/>
      <c r="I204" s="2"/>
      <c r="J204" s="3"/>
      <c r="K204" s="53"/>
      <c r="L204" s="53"/>
      <c r="M204" s="2"/>
      <c r="N204" s="2"/>
      <c r="O204" s="2"/>
      <c r="P204" s="2"/>
      <c r="Q204" s="2"/>
      <c r="R204" s="2"/>
      <c r="S204" s="5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1:30" ht="12" customHeight="1" x14ac:dyDescent="0.3">
      <c r="A205" s="2"/>
      <c r="B205" s="3"/>
      <c r="D205" s="3"/>
      <c r="E205" s="2"/>
      <c r="F205" s="2"/>
      <c r="G205" s="2"/>
      <c r="H205" s="2"/>
      <c r="I205" s="2"/>
      <c r="J205" s="3"/>
      <c r="K205" s="53"/>
      <c r="L205" s="53"/>
      <c r="M205" s="2"/>
      <c r="N205" s="2"/>
      <c r="O205" s="2"/>
      <c r="P205" s="2"/>
      <c r="Q205" s="2"/>
      <c r="R205" s="2"/>
      <c r="S205" s="5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1:30" ht="12" customHeight="1" x14ac:dyDescent="0.3">
      <c r="A206" s="2"/>
      <c r="B206" s="3"/>
      <c r="D206" s="3"/>
      <c r="E206" s="2"/>
      <c r="F206" s="2"/>
      <c r="G206" s="2"/>
      <c r="H206" s="2"/>
      <c r="I206" s="2"/>
      <c r="J206" s="3"/>
      <c r="K206" s="53"/>
      <c r="L206" s="53"/>
      <c r="M206" s="2"/>
      <c r="N206" s="2"/>
      <c r="O206" s="2"/>
      <c r="P206" s="2"/>
      <c r="Q206" s="2"/>
      <c r="R206" s="2"/>
      <c r="S206" s="5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1:30" ht="12" customHeight="1" x14ac:dyDescent="0.3">
      <c r="A207" s="2"/>
      <c r="B207" s="3"/>
      <c r="D207" s="3"/>
      <c r="E207" s="2"/>
      <c r="F207" s="2"/>
      <c r="G207" s="2"/>
      <c r="H207" s="2"/>
      <c r="I207" s="2"/>
      <c r="J207" s="3"/>
      <c r="K207" s="53"/>
      <c r="L207" s="53"/>
      <c r="M207" s="2"/>
      <c r="N207" s="2"/>
      <c r="O207" s="2"/>
      <c r="P207" s="2"/>
      <c r="Q207" s="2"/>
      <c r="R207" s="2"/>
      <c r="S207" s="5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1:30" ht="12" customHeight="1" x14ac:dyDescent="0.3">
      <c r="A208" s="2"/>
      <c r="B208" s="3"/>
      <c r="D208" s="3"/>
      <c r="E208" s="2"/>
      <c r="F208" s="2"/>
      <c r="G208" s="2"/>
      <c r="H208" s="2"/>
      <c r="I208" s="2"/>
      <c r="J208" s="3"/>
      <c r="K208" s="53"/>
      <c r="L208" s="53"/>
      <c r="M208" s="2"/>
      <c r="N208" s="2"/>
      <c r="O208" s="2"/>
      <c r="P208" s="2"/>
      <c r="Q208" s="2"/>
      <c r="R208" s="2"/>
      <c r="S208" s="5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1:30" ht="12" customHeight="1" x14ac:dyDescent="0.3">
      <c r="A209" s="2"/>
      <c r="B209" s="3"/>
      <c r="D209" s="3"/>
      <c r="E209" s="2"/>
      <c r="F209" s="2"/>
      <c r="G209" s="2"/>
      <c r="H209" s="2"/>
      <c r="I209" s="2"/>
      <c r="J209" s="3"/>
      <c r="K209" s="53"/>
      <c r="L209" s="53"/>
      <c r="M209" s="2"/>
      <c r="N209" s="2"/>
      <c r="O209" s="2"/>
      <c r="P209" s="2"/>
      <c r="Q209" s="2"/>
      <c r="R209" s="2"/>
      <c r="S209" s="5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1:30" ht="12" customHeight="1" x14ac:dyDescent="0.3">
      <c r="A210" s="2"/>
      <c r="B210" s="3"/>
      <c r="D210" s="3"/>
      <c r="E210" s="2"/>
      <c r="F210" s="2"/>
      <c r="G210" s="2"/>
      <c r="H210" s="2"/>
      <c r="I210" s="2"/>
      <c r="J210" s="3"/>
      <c r="K210" s="53"/>
      <c r="L210" s="53"/>
      <c r="M210" s="2"/>
      <c r="N210" s="2"/>
      <c r="O210" s="2"/>
      <c r="P210" s="2"/>
      <c r="Q210" s="2"/>
      <c r="R210" s="2"/>
      <c r="S210" s="5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1:30" ht="12" customHeight="1" x14ac:dyDescent="0.3">
      <c r="A211" s="2"/>
      <c r="B211" s="3"/>
      <c r="D211" s="3"/>
      <c r="E211" s="2"/>
      <c r="F211" s="2"/>
      <c r="G211" s="2"/>
      <c r="H211" s="2"/>
      <c r="I211" s="2"/>
      <c r="J211" s="3"/>
      <c r="K211" s="53"/>
      <c r="L211" s="53"/>
      <c r="M211" s="2"/>
      <c r="N211" s="2"/>
      <c r="O211" s="2"/>
      <c r="P211" s="2"/>
      <c r="Q211" s="2"/>
      <c r="R211" s="2"/>
      <c r="S211" s="5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1:30" ht="12" customHeight="1" x14ac:dyDescent="0.3">
      <c r="A212" s="2"/>
      <c r="B212" s="3"/>
      <c r="D212" s="3"/>
      <c r="E212" s="2"/>
      <c r="F212" s="2"/>
      <c r="G212" s="2"/>
      <c r="H212" s="2"/>
      <c r="I212" s="2"/>
      <c r="J212" s="3"/>
      <c r="K212" s="53"/>
      <c r="L212" s="53"/>
      <c r="M212" s="2"/>
      <c r="N212" s="2"/>
      <c r="O212" s="2"/>
      <c r="P212" s="2"/>
      <c r="Q212" s="2"/>
      <c r="R212" s="2"/>
      <c r="S212" s="5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1:30" ht="12" customHeight="1" x14ac:dyDescent="0.3">
      <c r="A213" s="2"/>
      <c r="B213" s="3"/>
      <c r="D213" s="3"/>
      <c r="E213" s="2"/>
      <c r="F213" s="2"/>
      <c r="G213" s="2"/>
      <c r="H213" s="2"/>
      <c r="I213" s="2"/>
      <c r="J213" s="3"/>
      <c r="K213" s="53"/>
      <c r="L213" s="53"/>
      <c r="M213" s="2"/>
      <c r="N213" s="2"/>
      <c r="O213" s="2"/>
      <c r="P213" s="2"/>
      <c r="Q213" s="2"/>
      <c r="R213" s="2"/>
      <c r="S213" s="5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1:30" ht="12" customHeight="1" x14ac:dyDescent="0.3">
      <c r="A214" s="2"/>
      <c r="B214" s="3"/>
      <c r="D214" s="3"/>
      <c r="E214" s="2"/>
      <c r="F214" s="2"/>
      <c r="G214" s="2"/>
      <c r="H214" s="2"/>
      <c r="I214" s="2"/>
      <c r="J214" s="3"/>
      <c r="K214" s="53"/>
      <c r="L214" s="53"/>
      <c r="M214" s="2"/>
      <c r="N214" s="2"/>
      <c r="O214" s="2"/>
      <c r="P214" s="2"/>
      <c r="Q214" s="2"/>
      <c r="R214" s="2"/>
      <c r="S214" s="5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1:30" ht="12" customHeight="1" x14ac:dyDescent="0.3">
      <c r="A215" s="2"/>
      <c r="B215" s="3"/>
      <c r="D215" s="3"/>
      <c r="E215" s="2"/>
      <c r="F215" s="2"/>
      <c r="G215" s="2"/>
      <c r="H215" s="2"/>
      <c r="I215" s="2"/>
      <c r="J215" s="3"/>
      <c r="K215" s="53"/>
      <c r="L215" s="53"/>
      <c r="M215" s="2"/>
      <c r="N215" s="2"/>
      <c r="O215" s="2"/>
      <c r="P215" s="2"/>
      <c r="Q215" s="2"/>
      <c r="R215" s="2"/>
      <c r="S215" s="5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1:30" ht="12" customHeight="1" x14ac:dyDescent="0.3">
      <c r="A216" s="2"/>
      <c r="B216" s="3"/>
      <c r="D216" s="3"/>
      <c r="E216" s="2"/>
      <c r="F216" s="2"/>
      <c r="G216" s="2"/>
      <c r="H216" s="2"/>
      <c r="I216" s="2"/>
      <c r="J216" s="3"/>
      <c r="K216" s="53"/>
      <c r="L216" s="53"/>
      <c r="M216" s="2"/>
      <c r="N216" s="2"/>
      <c r="O216" s="2"/>
      <c r="P216" s="2"/>
      <c r="Q216" s="2"/>
      <c r="R216" s="2"/>
      <c r="S216" s="5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1:30" ht="12" customHeight="1" x14ac:dyDescent="0.3">
      <c r="A217" s="2"/>
      <c r="B217" s="3"/>
      <c r="D217" s="3"/>
      <c r="E217" s="2"/>
      <c r="F217" s="2"/>
      <c r="G217" s="2"/>
      <c r="H217" s="2"/>
      <c r="I217" s="2"/>
      <c r="J217" s="3"/>
      <c r="K217" s="53"/>
      <c r="L217" s="53"/>
      <c r="M217" s="2"/>
      <c r="N217" s="2"/>
      <c r="O217" s="2"/>
      <c r="P217" s="2"/>
      <c r="Q217" s="2"/>
      <c r="R217" s="2"/>
      <c r="S217" s="5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1:30" ht="12" customHeight="1" x14ac:dyDescent="0.3">
      <c r="A218" s="2"/>
      <c r="B218" s="3"/>
      <c r="D218" s="3"/>
      <c r="E218" s="2"/>
      <c r="F218" s="2"/>
      <c r="G218" s="2"/>
      <c r="H218" s="2"/>
      <c r="I218" s="2"/>
      <c r="J218" s="3"/>
      <c r="K218" s="53"/>
      <c r="L218" s="53"/>
      <c r="M218" s="2"/>
      <c r="N218" s="2"/>
      <c r="O218" s="2"/>
      <c r="P218" s="2"/>
      <c r="Q218" s="2"/>
      <c r="R218" s="2"/>
      <c r="S218" s="5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1:30" ht="12" customHeight="1" x14ac:dyDescent="0.3">
      <c r="A219" s="2"/>
      <c r="B219" s="3"/>
      <c r="D219" s="3"/>
      <c r="E219" s="2"/>
      <c r="F219" s="2"/>
      <c r="G219" s="2"/>
      <c r="H219" s="2"/>
      <c r="I219" s="2"/>
      <c r="J219" s="3"/>
      <c r="K219" s="53"/>
      <c r="L219" s="53"/>
      <c r="M219" s="2"/>
      <c r="N219" s="2"/>
      <c r="O219" s="2"/>
      <c r="P219" s="2"/>
      <c r="Q219" s="2"/>
      <c r="R219" s="2"/>
      <c r="S219" s="5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1:30" ht="12" customHeight="1" x14ac:dyDescent="0.3">
      <c r="A220" s="2"/>
      <c r="B220" s="3"/>
      <c r="D220" s="3"/>
      <c r="E220" s="2"/>
      <c r="F220" s="2"/>
      <c r="G220" s="2"/>
      <c r="H220" s="2"/>
      <c r="I220" s="2"/>
      <c r="J220" s="3"/>
      <c r="K220" s="53"/>
      <c r="L220" s="53"/>
      <c r="M220" s="2"/>
      <c r="N220" s="2"/>
      <c r="O220" s="2"/>
      <c r="P220" s="2"/>
      <c r="Q220" s="2"/>
      <c r="R220" s="2"/>
      <c r="S220" s="5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1:30" ht="12" customHeight="1" x14ac:dyDescent="0.3">
      <c r="A221" s="2"/>
      <c r="B221" s="3"/>
      <c r="D221" s="3"/>
      <c r="E221" s="2"/>
      <c r="F221" s="2"/>
      <c r="G221" s="2"/>
      <c r="H221" s="2"/>
      <c r="I221" s="2"/>
      <c r="J221" s="3"/>
      <c r="K221" s="53"/>
      <c r="L221" s="53"/>
      <c r="M221" s="2"/>
      <c r="N221" s="2"/>
      <c r="O221" s="2"/>
      <c r="P221" s="2"/>
      <c r="Q221" s="2"/>
      <c r="R221" s="2"/>
      <c r="S221" s="5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1:30" ht="12" customHeight="1" x14ac:dyDescent="0.3">
      <c r="A222" s="2"/>
      <c r="B222" s="3"/>
      <c r="D222" s="3"/>
      <c r="E222" s="2"/>
      <c r="F222" s="2"/>
      <c r="G222" s="2"/>
      <c r="H222" s="2"/>
      <c r="I222" s="2"/>
      <c r="J222" s="3"/>
      <c r="K222" s="53"/>
      <c r="L222" s="53"/>
      <c r="M222" s="2"/>
      <c r="N222" s="2"/>
      <c r="O222" s="2"/>
      <c r="P222" s="2"/>
      <c r="Q222" s="2"/>
      <c r="R222" s="2"/>
      <c r="S222" s="5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1:30" ht="12" customHeight="1" x14ac:dyDescent="0.3">
      <c r="A223" s="2"/>
      <c r="B223" s="3"/>
      <c r="D223" s="3"/>
      <c r="E223" s="2"/>
      <c r="F223" s="2"/>
      <c r="G223" s="2"/>
      <c r="H223" s="2"/>
      <c r="I223" s="2"/>
      <c r="J223" s="3"/>
      <c r="K223" s="53"/>
      <c r="L223" s="53"/>
      <c r="M223" s="2"/>
      <c r="N223" s="2"/>
      <c r="O223" s="2"/>
      <c r="P223" s="2"/>
      <c r="Q223" s="2"/>
      <c r="R223" s="2"/>
      <c r="S223" s="5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1:30" ht="12" customHeight="1" x14ac:dyDescent="0.3">
      <c r="A224" s="2"/>
      <c r="B224" s="3"/>
      <c r="D224" s="3"/>
      <c r="E224" s="2"/>
      <c r="F224" s="2"/>
      <c r="G224" s="2"/>
      <c r="H224" s="2"/>
      <c r="I224" s="2"/>
      <c r="J224" s="3"/>
      <c r="K224" s="53"/>
      <c r="L224" s="53"/>
      <c r="M224" s="2"/>
      <c r="N224" s="2"/>
      <c r="O224" s="2"/>
      <c r="P224" s="2"/>
      <c r="Q224" s="2"/>
      <c r="R224" s="2"/>
      <c r="S224" s="5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1:30" ht="12" customHeight="1" x14ac:dyDescent="0.3">
      <c r="A225" s="2"/>
      <c r="B225" s="3"/>
      <c r="D225" s="3"/>
      <c r="E225" s="2"/>
      <c r="F225" s="2"/>
      <c r="G225" s="2"/>
      <c r="H225" s="2"/>
      <c r="I225" s="2"/>
      <c r="J225" s="3"/>
      <c r="K225" s="53"/>
      <c r="L225" s="53"/>
      <c r="M225" s="2"/>
      <c r="N225" s="2"/>
      <c r="O225" s="2"/>
      <c r="P225" s="2"/>
      <c r="Q225" s="2"/>
      <c r="R225" s="2"/>
      <c r="S225" s="5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1:30" ht="12" customHeight="1" x14ac:dyDescent="0.3">
      <c r="A226" s="2"/>
      <c r="B226" s="3"/>
      <c r="D226" s="3"/>
      <c r="E226" s="2"/>
      <c r="F226" s="2"/>
      <c r="G226" s="2"/>
      <c r="H226" s="2"/>
      <c r="I226" s="2"/>
      <c r="J226" s="3"/>
      <c r="K226" s="53"/>
      <c r="L226" s="53"/>
      <c r="M226" s="2"/>
      <c r="N226" s="2"/>
      <c r="O226" s="2"/>
      <c r="P226" s="2"/>
      <c r="Q226" s="2"/>
      <c r="R226" s="2"/>
      <c r="S226" s="5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1:30" ht="12" customHeight="1" x14ac:dyDescent="0.3">
      <c r="A227" s="2"/>
      <c r="B227" s="3"/>
      <c r="D227" s="3"/>
      <c r="E227" s="2"/>
      <c r="F227" s="2"/>
      <c r="G227" s="2"/>
      <c r="H227" s="2"/>
      <c r="I227" s="2"/>
      <c r="J227" s="3"/>
      <c r="K227" s="53"/>
      <c r="L227" s="53"/>
      <c r="M227" s="2"/>
      <c r="N227" s="2"/>
      <c r="O227" s="2"/>
      <c r="P227" s="2"/>
      <c r="Q227" s="2"/>
      <c r="R227" s="2"/>
      <c r="S227" s="5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1:30" ht="12" customHeight="1" x14ac:dyDescent="0.3">
      <c r="A228" s="2"/>
      <c r="B228" s="3"/>
      <c r="D228" s="3"/>
      <c r="E228" s="2"/>
      <c r="F228" s="2"/>
      <c r="G228" s="2"/>
      <c r="H228" s="2"/>
      <c r="I228" s="2"/>
      <c r="J228" s="3"/>
      <c r="K228" s="53"/>
      <c r="L228" s="53"/>
      <c r="M228" s="2"/>
      <c r="N228" s="2"/>
      <c r="O228" s="2"/>
      <c r="P228" s="2"/>
      <c r="Q228" s="2"/>
      <c r="R228" s="2"/>
      <c r="S228" s="5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1:30" ht="12" customHeight="1" x14ac:dyDescent="0.3">
      <c r="A229" s="2"/>
      <c r="B229" s="3"/>
      <c r="D229" s="3"/>
      <c r="E229" s="2"/>
      <c r="F229" s="2"/>
      <c r="G229" s="2"/>
      <c r="H229" s="2"/>
      <c r="I229" s="2"/>
      <c r="J229" s="3"/>
      <c r="K229" s="53"/>
      <c r="L229" s="53"/>
      <c r="M229" s="2"/>
      <c r="N229" s="2"/>
      <c r="O229" s="2"/>
      <c r="P229" s="2"/>
      <c r="Q229" s="2"/>
      <c r="R229" s="2"/>
      <c r="S229" s="5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1:30" ht="12" customHeight="1" x14ac:dyDescent="0.3">
      <c r="A230" s="2"/>
      <c r="B230" s="3"/>
      <c r="D230" s="3"/>
      <c r="E230" s="2"/>
      <c r="F230" s="2"/>
      <c r="G230" s="2"/>
      <c r="H230" s="2"/>
      <c r="I230" s="2"/>
      <c r="J230" s="3"/>
      <c r="K230" s="53"/>
      <c r="L230" s="53"/>
      <c r="M230" s="2"/>
      <c r="N230" s="2"/>
      <c r="O230" s="2"/>
      <c r="P230" s="2"/>
      <c r="Q230" s="2"/>
      <c r="R230" s="2"/>
      <c r="S230" s="5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1:30" ht="12" customHeight="1" x14ac:dyDescent="0.3">
      <c r="A231" s="2"/>
      <c r="B231" s="3"/>
      <c r="D231" s="3"/>
      <c r="E231" s="2"/>
      <c r="F231" s="2"/>
      <c r="G231" s="2"/>
      <c r="H231" s="2"/>
      <c r="I231" s="2"/>
      <c r="J231" s="3"/>
      <c r="K231" s="53"/>
      <c r="L231" s="53"/>
      <c r="M231" s="2"/>
      <c r="N231" s="2"/>
      <c r="O231" s="2"/>
      <c r="P231" s="2"/>
      <c r="Q231" s="2"/>
      <c r="R231" s="2"/>
      <c r="S231" s="5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1:30" ht="12" customHeight="1" x14ac:dyDescent="0.3">
      <c r="A232" s="2"/>
      <c r="B232" s="3"/>
      <c r="D232" s="3"/>
      <c r="E232" s="2"/>
      <c r="F232" s="2"/>
      <c r="G232" s="2"/>
      <c r="H232" s="2"/>
      <c r="I232" s="2"/>
      <c r="J232" s="3"/>
      <c r="K232" s="53"/>
      <c r="L232" s="53"/>
      <c r="M232" s="2"/>
      <c r="N232" s="2"/>
      <c r="O232" s="2"/>
      <c r="P232" s="2"/>
      <c r="Q232" s="2"/>
      <c r="R232" s="2"/>
      <c r="S232" s="5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1:30" ht="15.75" customHeight="1" x14ac:dyDescent="0.3">
      <c r="R233" s="71"/>
    </row>
    <row r="234" spans="1:30" ht="15.75" customHeight="1" x14ac:dyDescent="0.3">
      <c r="R234" s="71"/>
    </row>
    <row r="235" spans="1:30" ht="15.75" customHeight="1" x14ac:dyDescent="0.3">
      <c r="R235" s="71"/>
    </row>
    <row r="236" spans="1:30" ht="15.75" customHeight="1" x14ac:dyDescent="0.3">
      <c r="R236" s="71"/>
    </row>
    <row r="237" spans="1:30" ht="15.75" customHeight="1" x14ac:dyDescent="0.3">
      <c r="R237" s="71"/>
    </row>
    <row r="238" spans="1:30" ht="15.75" customHeight="1" x14ac:dyDescent="0.3">
      <c r="R238" s="71"/>
    </row>
    <row r="239" spans="1:30" ht="15.75" customHeight="1" x14ac:dyDescent="0.3">
      <c r="R239" s="71"/>
    </row>
    <row r="240" spans="1:30" ht="15.75" customHeight="1" x14ac:dyDescent="0.3">
      <c r="R240" s="71"/>
    </row>
    <row r="241" spans="18:18" ht="15.75" customHeight="1" x14ac:dyDescent="0.3">
      <c r="R241" s="71"/>
    </row>
    <row r="242" spans="18:18" ht="15.75" customHeight="1" x14ac:dyDescent="0.3">
      <c r="R242" s="71"/>
    </row>
    <row r="243" spans="18:18" ht="15.75" customHeight="1" x14ac:dyDescent="0.3">
      <c r="R243" s="71"/>
    </row>
    <row r="244" spans="18:18" ht="15.75" customHeight="1" x14ac:dyDescent="0.3">
      <c r="R244" s="71"/>
    </row>
    <row r="245" spans="18:18" ht="15.75" customHeight="1" x14ac:dyDescent="0.3">
      <c r="R245" s="71"/>
    </row>
    <row r="246" spans="18:18" ht="15.75" customHeight="1" x14ac:dyDescent="0.3">
      <c r="R246" s="71"/>
    </row>
    <row r="247" spans="18:18" ht="15.75" customHeight="1" x14ac:dyDescent="0.3">
      <c r="R247" s="71"/>
    </row>
    <row r="248" spans="18:18" ht="15.75" customHeight="1" x14ac:dyDescent="0.3">
      <c r="R248" s="71"/>
    </row>
    <row r="249" spans="18:18" ht="15.75" customHeight="1" x14ac:dyDescent="0.3">
      <c r="R249" s="71"/>
    </row>
    <row r="250" spans="18:18" ht="15.75" customHeight="1" x14ac:dyDescent="0.3">
      <c r="R250" s="71"/>
    </row>
    <row r="251" spans="18:18" ht="15.75" customHeight="1" x14ac:dyDescent="0.3">
      <c r="R251" s="71"/>
    </row>
    <row r="252" spans="18:18" ht="15.75" customHeight="1" x14ac:dyDescent="0.3">
      <c r="R252" s="71"/>
    </row>
    <row r="253" spans="18:18" ht="15.75" customHeight="1" x14ac:dyDescent="0.3">
      <c r="R253" s="71"/>
    </row>
    <row r="254" spans="18:18" ht="15.75" customHeight="1" x14ac:dyDescent="0.3">
      <c r="R254" s="71"/>
    </row>
    <row r="255" spans="18:18" ht="15.75" customHeight="1" x14ac:dyDescent="0.3">
      <c r="R255" s="71"/>
    </row>
    <row r="256" spans="18:18" ht="15.75" customHeight="1" x14ac:dyDescent="0.3">
      <c r="R256" s="71"/>
    </row>
    <row r="257" spans="18:18" ht="15.75" customHeight="1" x14ac:dyDescent="0.3">
      <c r="R257" s="71"/>
    </row>
    <row r="258" spans="18:18" ht="15.75" customHeight="1" x14ac:dyDescent="0.3">
      <c r="R258" s="71"/>
    </row>
    <row r="259" spans="18:18" ht="15.75" customHeight="1" x14ac:dyDescent="0.3">
      <c r="R259" s="71"/>
    </row>
    <row r="260" spans="18:18" ht="15.75" customHeight="1" x14ac:dyDescent="0.3">
      <c r="R260" s="71"/>
    </row>
    <row r="261" spans="18:18" ht="15.75" customHeight="1" x14ac:dyDescent="0.3">
      <c r="R261" s="71"/>
    </row>
    <row r="262" spans="18:18" ht="15.75" customHeight="1" x14ac:dyDescent="0.3">
      <c r="R262" s="71"/>
    </row>
    <row r="263" spans="18:18" ht="15.75" customHeight="1" x14ac:dyDescent="0.3">
      <c r="R263" s="71"/>
    </row>
    <row r="264" spans="18:18" ht="15.75" customHeight="1" x14ac:dyDescent="0.3">
      <c r="R264" s="71"/>
    </row>
    <row r="265" spans="18:18" ht="15.75" customHeight="1" x14ac:dyDescent="0.3">
      <c r="R265" s="71"/>
    </row>
    <row r="266" spans="18:18" ht="15.75" customHeight="1" x14ac:dyDescent="0.3">
      <c r="R266" s="71"/>
    </row>
    <row r="267" spans="18:18" ht="15.75" customHeight="1" x14ac:dyDescent="0.3">
      <c r="R267" s="71"/>
    </row>
    <row r="268" spans="18:18" ht="15.75" customHeight="1" x14ac:dyDescent="0.3">
      <c r="R268" s="71"/>
    </row>
    <row r="269" spans="18:18" ht="15.75" customHeight="1" x14ac:dyDescent="0.3">
      <c r="R269" s="71"/>
    </row>
    <row r="270" spans="18:18" ht="15.75" customHeight="1" x14ac:dyDescent="0.3">
      <c r="R270" s="71"/>
    </row>
    <row r="271" spans="18:18" ht="15.75" customHeight="1" x14ac:dyDescent="0.3">
      <c r="R271" s="71"/>
    </row>
    <row r="272" spans="18:18" ht="15.75" customHeight="1" x14ac:dyDescent="0.3">
      <c r="R272" s="71"/>
    </row>
    <row r="273" spans="18:18" ht="15.75" customHeight="1" x14ac:dyDescent="0.3">
      <c r="R273" s="71"/>
    </row>
    <row r="274" spans="18:18" ht="15.75" customHeight="1" x14ac:dyDescent="0.3">
      <c r="R274" s="71"/>
    </row>
    <row r="275" spans="18:18" ht="15.75" customHeight="1" x14ac:dyDescent="0.3">
      <c r="R275" s="71"/>
    </row>
    <row r="276" spans="18:18" ht="15.75" customHeight="1" x14ac:dyDescent="0.3">
      <c r="R276" s="71"/>
    </row>
    <row r="277" spans="18:18" ht="15.75" customHeight="1" x14ac:dyDescent="0.3">
      <c r="R277" s="71"/>
    </row>
    <row r="278" spans="18:18" ht="15.75" customHeight="1" x14ac:dyDescent="0.3">
      <c r="R278" s="71"/>
    </row>
    <row r="279" spans="18:18" ht="15.75" customHeight="1" x14ac:dyDescent="0.3">
      <c r="R279" s="71"/>
    </row>
    <row r="280" spans="18:18" ht="15.75" customHeight="1" x14ac:dyDescent="0.3">
      <c r="R280" s="71"/>
    </row>
    <row r="281" spans="18:18" ht="15.75" customHeight="1" x14ac:dyDescent="0.3">
      <c r="R281" s="71"/>
    </row>
    <row r="282" spans="18:18" ht="15.75" customHeight="1" x14ac:dyDescent="0.3">
      <c r="R282" s="71"/>
    </row>
    <row r="283" spans="18:18" ht="15.75" customHeight="1" x14ac:dyDescent="0.3">
      <c r="R283" s="71"/>
    </row>
    <row r="284" spans="18:18" ht="15.75" customHeight="1" x14ac:dyDescent="0.3">
      <c r="R284" s="71"/>
    </row>
    <row r="285" spans="18:18" ht="15.75" customHeight="1" x14ac:dyDescent="0.3">
      <c r="R285" s="71"/>
    </row>
    <row r="286" spans="18:18" ht="15.75" customHeight="1" x14ac:dyDescent="0.3">
      <c r="R286" s="71"/>
    </row>
    <row r="287" spans="18:18" ht="15.75" customHeight="1" x14ac:dyDescent="0.3">
      <c r="R287" s="71"/>
    </row>
    <row r="288" spans="18:18" ht="15.75" customHeight="1" x14ac:dyDescent="0.3">
      <c r="R288" s="71"/>
    </row>
    <row r="289" spans="18:18" ht="15.75" customHeight="1" x14ac:dyDescent="0.3">
      <c r="R289" s="71"/>
    </row>
    <row r="290" spans="18:18" ht="15.75" customHeight="1" x14ac:dyDescent="0.3">
      <c r="R290" s="71"/>
    </row>
    <row r="291" spans="18:18" ht="15.75" customHeight="1" x14ac:dyDescent="0.3">
      <c r="R291" s="71"/>
    </row>
    <row r="292" spans="18:18" ht="15.75" customHeight="1" x14ac:dyDescent="0.3">
      <c r="R292" s="71"/>
    </row>
    <row r="293" spans="18:18" ht="15.75" customHeight="1" x14ac:dyDescent="0.3">
      <c r="R293" s="71"/>
    </row>
    <row r="294" spans="18:18" ht="15.75" customHeight="1" x14ac:dyDescent="0.3">
      <c r="R294" s="71"/>
    </row>
    <row r="295" spans="18:18" ht="15.75" customHeight="1" x14ac:dyDescent="0.3">
      <c r="R295" s="71"/>
    </row>
    <row r="296" spans="18:18" ht="15.75" customHeight="1" x14ac:dyDescent="0.3">
      <c r="R296" s="71"/>
    </row>
    <row r="297" spans="18:18" ht="15.75" customHeight="1" x14ac:dyDescent="0.3">
      <c r="R297" s="71"/>
    </row>
    <row r="298" spans="18:18" ht="15.75" customHeight="1" x14ac:dyDescent="0.3">
      <c r="R298" s="71"/>
    </row>
    <row r="299" spans="18:18" ht="15.75" customHeight="1" x14ac:dyDescent="0.3">
      <c r="R299" s="71"/>
    </row>
    <row r="300" spans="18:18" ht="15.75" customHeight="1" x14ac:dyDescent="0.3">
      <c r="R300" s="71"/>
    </row>
    <row r="301" spans="18:18" ht="15.75" customHeight="1" x14ac:dyDescent="0.3">
      <c r="R301" s="71"/>
    </row>
    <row r="302" spans="18:18" ht="15.75" customHeight="1" x14ac:dyDescent="0.3">
      <c r="R302" s="71"/>
    </row>
    <row r="303" spans="18:18" ht="15.75" customHeight="1" x14ac:dyDescent="0.3">
      <c r="R303" s="71"/>
    </row>
    <row r="304" spans="18:18" ht="15.75" customHeight="1" x14ac:dyDescent="0.3">
      <c r="R304" s="71"/>
    </row>
    <row r="305" spans="18:18" ht="15.75" customHeight="1" x14ac:dyDescent="0.3">
      <c r="R305" s="71"/>
    </row>
    <row r="306" spans="18:18" ht="15.75" customHeight="1" x14ac:dyDescent="0.3">
      <c r="R306" s="71"/>
    </row>
    <row r="307" spans="18:18" ht="15.75" customHeight="1" x14ac:dyDescent="0.3">
      <c r="R307" s="71"/>
    </row>
    <row r="308" spans="18:18" ht="15.75" customHeight="1" x14ac:dyDescent="0.3">
      <c r="R308" s="71"/>
    </row>
    <row r="309" spans="18:18" ht="15.75" customHeight="1" x14ac:dyDescent="0.3">
      <c r="R309" s="71"/>
    </row>
    <row r="310" spans="18:18" ht="15.75" customHeight="1" x14ac:dyDescent="0.3">
      <c r="R310" s="71"/>
    </row>
    <row r="311" spans="18:18" ht="15.75" customHeight="1" x14ac:dyDescent="0.3">
      <c r="R311" s="71"/>
    </row>
    <row r="312" spans="18:18" ht="15.75" customHeight="1" x14ac:dyDescent="0.3">
      <c r="R312" s="71"/>
    </row>
    <row r="313" spans="18:18" ht="15.75" customHeight="1" x14ac:dyDescent="0.3">
      <c r="R313" s="71"/>
    </row>
    <row r="314" spans="18:18" ht="15.75" customHeight="1" x14ac:dyDescent="0.3">
      <c r="R314" s="71"/>
    </row>
    <row r="315" spans="18:18" ht="15.75" customHeight="1" x14ac:dyDescent="0.3">
      <c r="R315" s="71"/>
    </row>
    <row r="316" spans="18:18" ht="15.75" customHeight="1" x14ac:dyDescent="0.3">
      <c r="R316" s="71"/>
    </row>
    <row r="317" spans="18:18" ht="15.75" customHeight="1" x14ac:dyDescent="0.3">
      <c r="R317" s="71"/>
    </row>
    <row r="318" spans="18:18" ht="15.75" customHeight="1" x14ac:dyDescent="0.3">
      <c r="R318" s="71"/>
    </row>
    <row r="319" spans="18:18" ht="15.75" customHeight="1" x14ac:dyDescent="0.3">
      <c r="R319" s="71"/>
    </row>
    <row r="320" spans="18:18" ht="15.75" customHeight="1" x14ac:dyDescent="0.3">
      <c r="R320" s="71"/>
    </row>
    <row r="321" spans="18:18" ht="15.75" customHeight="1" x14ac:dyDescent="0.3">
      <c r="R321" s="71"/>
    </row>
    <row r="322" spans="18:18" ht="15.75" customHeight="1" x14ac:dyDescent="0.3">
      <c r="R322" s="71"/>
    </row>
    <row r="323" spans="18:18" ht="15.75" customHeight="1" x14ac:dyDescent="0.3">
      <c r="R323" s="71"/>
    </row>
    <row r="324" spans="18:18" ht="15.75" customHeight="1" x14ac:dyDescent="0.3">
      <c r="R324" s="71"/>
    </row>
    <row r="325" spans="18:18" ht="15.75" customHeight="1" x14ac:dyDescent="0.3">
      <c r="R325" s="71"/>
    </row>
    <row r="326" spans="18:18" ht="15.75" customHeight="1" x14ac:dyDescent="0.3">
      <c r="R326" s="71"/>
    </row>
    <row r="327" spans="18:18" ht="15.75" customHeight="1" x14ac:dyDescent="0.3">
      <c r="R327" s="71"/>
    </row>
    <row r="328" spans="18:18" ht="15.75" customHeight="1" x14ac:dyDescent="0.3">
      <c r="R328" s="71"/>
    </row>
    <row r="329" spans="18:18" ht="15.75" customHeight="1" x14ac:dyDescent="0.3">
      <c r="R329" s="71"/>
    </row>
    <row r="330" spans="18:18" ht="15.75" customHeight="1" x14ac:dyDescent="0.3">
      <c r="R330" s="71"/>
    </row>
    <row r="331" spans="18:18" ht="15.75" customHeight="1" x14ac:dyDescent="0.3">
      <c r="R331" s="71"/>
    </row>
    <row r="332" spans="18:18" ht="15.75" customHeight="1" x14ac:dyDescent="0.3">
      <c r="R332" s="71"/>
    </row>
    <row r="333" spans="18:18" ht="15.75" customHeight="1" x14ac:dyDescent="0.3">
      <c r="R333" s="71"/>
    </row>
    <row r="334" spans="18:18" ht="15.75" customHeight="1" x14ac:dyDescent="0.3">
      <c r="R334" s="71"/>
    </row>
    <row r="335" spans="18:18" ht="15.75" customHeight="1" x14ac:dyDescent="0.3">
      <c r="R335" s="71"/>
    </row>
    <row r="336" spans="18:18" ht="15.75" customHeight="1" x14ac:dyDescent="0.3">
      <c r="R336" s="71"/>
    </row>
    <row r="337" spans="18:18" ht="15.75" customHeight="1" x14ac:dyDescent="0.3">
      <c r="R337" s="71"/>
    </row>
    <row r="338" spans="18:18" ht="15.75" customHeight="1" x14ac:dyDescent="0.3">
      <c r="R338" s="71"/>
    </row>
    <row r="339" spans="18:18" ht="15.75" customHeight="1" x14ac:dyDescent="0.3">
      <c r="R339" s="71"/>
    </row>
    <row r="340" spans="18:18" ht="15.75" customHeight="1" x14ac:dyDescent="0.3">
      <c r="R340" s="71"/>
    </row>
    <row r="341" spans="18:18" ht="15.75" customHeight="1" x14ac:dyDescent="0.3">
      <c r="R341" s="71"/>
    </row>
    <row r="342" spans="18:18" ht="15.75" customHeight="1" x14ac:dyDescent="0.3">
      <c r="R342" s="71"/>
    </row>
    <row r="343" spans="18:18" ht="15.75" customHeight="1" x14ac:dyDescent="0.3">
      <c r="R343" s="71"/>
    </row>
    <row r="344" spans="18:18" ht="15.75" customHeight="1" x14ac:dyDescent="0.3">
      <c r="R344" s="71"/>
    </row>
    <row r="345" spans="18:18" ht="15.75" customHeight="1" x14ac:dyDescent="0.3">
      <c r="R345" s="71"/>
    </row>
    <row r="346" spans="18:18" ht="15.75" customHeight="1" x14ac:dyDescent="0.3">
      <c r="R346" s="71"/>
    </row>
    <row r="347" spans="18:18" ht="15.75" customHeight="1" x14ac:dyDescent="0.3">
      <c r="R347" s="71"/>
    </row>
    <row r="348" spans="18:18" ht="15.75" customHeight="1" x14ac:dyDescent="0.3">
      <c r="R348" s="71"/>
    </row>
    <row r="349" spans="18:18" ht="15.75" customHeight="1" x14ac:dyDescent="0.3">
      <c r="R349" s="71"/>
    </row>
    <row r="350" spans="18:18" ht="15.75" customHeight="1" x14ac:dyDescent="0.3">
      <c r="R350" s="71"/>
    </row>
    <row r="351" spans="18:18" ht="15.75" customHeight="1" x14ac:dyDescent="0.3">
      <c r="R351" s="71"/>
    </row>
    <row r="352" spans="18:18" ht="15.75" customHeight="1" x14ac:dyDescent="0.3">
      <c r="R352" s="71"/>
    </row>
    <row r="353" spans="18:18" ht="15.75" customHeight="1" x14ac:dyDescent="0.3">
      <c r="R353" s="71"/>
    </row>
    <row r="354" spans="18:18" ht="15.75" customHeight="1" x14ac:dyDescent="0.3">
      <c r="R354" s="71"/>
    </row>
    <row r="355" spans="18:18" ht="15.75" customHeight="1" x14ac:dyDescent="0.3">
      <c r="R355" s="71"/>
    </row>
    <row r="356" spans="18:18" ht="15.75" customHeight="1" x14ac:dyDescent="0.3">
      <c r="R356" s="71"/>
    </row>
    <row r="357" spans="18:18" ht="15.75" customHeight="1" x14ac:dyDescent="0.3">
      <c r="R357" s="71"/>
    </row>
    <row r="358" spans="18:18" ht="15.75" customHeight="1" x14ac:dyDescent="0.3">
      <c r="R358" s="71"/>
    </row>
    <row r="359" spans="18:18" ht="15.75" customHeight="1" x14ac:dyDescent="0.3">
      <c r="R359" s="71"/>
    </row>
    <row r="360" spans="18:18" ht="15.75" customHeight="1" x14ac:dyDescent="0.3">
      <c r="R360" s="71"/>
    </row>
    <row r="361" spans="18:18" ht="15.75" customHeight="1" x14ac:dyDescent="0.3">
      <c r="R361" s="71"/>
    </row>
    <row r="362" spans="18:18" ht="15.75" customHeight="1" x14ac:dyDescent="0.3">
      <c r="R362" s="71"/>
    </row>
    <row r="363" spans="18:18" ht="15.75" customHeight="1" x14ac:dyDescent="0.3">
      <c r="R363" s="71"/>
    </row>
    <row r="364" spans="18:18" ht="15.75" customHeight="1" x14ac:dyDescent="0.3">
      <c r="R364" s="71"/>
    </row>
    <row r="365" spans="18:18" ht="15.75" customHeight="1" x14ac:dyDescent="0.3">
      <c r="R365" s="71"/>
    </row>
    <row r="366" spans="18:18" ht="15.75" customHeight="1" x14ac:dyDescent="0.3">
      <c r="R366" s="71"/>
    </row>
    <row r="367" spans="18:18" ht="15.75" customHeight="1" x14ac:dyDescent="0.3">
      <c r="R367" s="71"/>
    </row>
    <row r="368" spans="18:18" ht="15.75" customHeight="1" x14ac:dyDescent="0.3">
      <c r="R368" s="71"/>
    </row>
    <row r="369" spans="18:18" ht="15.75" customHeight="1" x14ac:dyDescent="0.3">
      <c r="R369" s="71"/>
    </row>
    <row r="370" spans="18:18" ht="15.75" customHeight="1" x14ac:dyDescent="0.3">
      <c r="R370" s="71"/>
    </row>
    <row r="371" spans="18:18" ht="15.75" customHeight="1" x14ac:dyDescent="0.3">
      <c r="R371" s="71"/>
    </row>
    <row r="372" spans="18:18" ht="15.75" customHeight="1" x14ac:dyDescent="0.3">
      <c r="R372" s="71"/>
    </row>
    <row r="373" spans="18:18" ht="15.75" customHeight="1" x14ac:dyDescent="0.3">
      <c r="R373" s="71"/>
    </row>
    <row r="374" spans="18:18" ht="15.75" customHeight="1" x14ac:dyDescent="0.3">
      <c r="R374" s="71"/>
    </row>
    <row r="375" spans="18:18" ht="15.75" customHeight="1" x14ac:dyDescent="0.3">
      <c r="R375" s="71"/>
    </row>
    <row r="376" spans="18:18" ht="15.75" customHeight="1" x14ac:dyDescent="0.3">
      <c r="R376" s="71"/>
    </row>
    <row r="377" spans="18:18" ht="15.75" customHeight="1" x14ac:dyDescent="0.3">
      <c r="R377" s="71"/>
    </row>
    <row r="378" spans="18:18" ht="15.75" customHeight="1" x14ac:dyDescent="0.3">
      <c r="R378" s="71"/>
    </row>
    <row r="379" spans="18:18" ht="15.75" customHeight="1" x14ac:dyDescent="0.3">
      <c r="R379" s="71"/>
    </row>
    <row r="380" spans="18:18" ht="15.75" customHeight="1" x14ac:dyDescent="0.3">
      <c r="R380" s="71"/>
    </row>
    <row r="381" spans="18:18" ht="15.75" customHeight="1" x14ac:dyDescent="0.3">
      <c r="R381" s="71"/>
    </row>
    <row r="382" spans="18:18" ht="15.75" customHeight="1" x14ac:dyDescent="0.3">
      <c r="R382" s="71"/>
    </row>
    <row r="383" spans="18:18" ht="15.75" customHeight="1" x14ac:dyDescent="0.3">
      <c r="R383" s="71"/>
    </row>
    <row r="384" spans="18:18" ht="15.75" customHeight="1" x14ac:dyDescent="0.3">
      <c r="R384" s="71"/>
    </row>
    <row r="385" spans="18:18" ht="15.75" customHeight="1" x14ac:dyDescent="0.3">
      <c r="R385" s="71"/>
    </row>
    <row r="386" spans="18:18" ht="15.75" customHeight="1" x14ac:dyDescent="0.3">
      <c r="R386" s="71"/>
    </row>
    <row r="387" spans="18:18" ht="15.75" customHeight="1" x14ac:dyDescent="0.3">
      <c r="R387" s="71"/>
    </row>
    <row r="388" spans="18:18" ht="15.75" customHeight="1" x14ac:dyDescent="0.3">
      <c r="R388" s="71"/>
    </row>
    <row r="389" spans="18:18" ht="15.75" customHeight="1" x14ac:dyDescent="0.3">
      <c r="R389" s="71"/>
    </row>
    <row r="390" spans="18:18" ht="15.75" customHeight="1" x14ac:dyDescent="0.3">
      <c r="R390" s="71"/>
    </row>
    <row r="391" spans="18:18" ht="15.75" customHeight="1" x14ac:dyDescent="0.3">
      <c r="R391" s="71"/>
    </row>
    <row r="392" spans="18:18" ht="15.75" customHeight="1" x14ac:dyDescent="0.3">
      <c r="R392" s="71"/>
    </row>
    <row r="393" spans="18:18" ht="15.75" customHeight="1" x14ac:dyDescent="0.3">
      <c r="R393" s="71"/>
    </row>
    <row r="394" spans="18:18" ht="15.75" customHeight="1" x14ac:dyDescent="0.3">
      <c r="R394" s="71"/>
    </row>
    <row r="395" spans="18:18" ht="15.75" customHeight="1" x14ac:dyDescent="0.3">
      <c r="R395" s="71"/>
    </row>
    <row r="396" spans="18:18" ht="15.75" customHeight="1" x14ac:dyDescent="0.3">
      <c r="R396" s="71"/>
    </row>
    <row r="397" spans="18:18" ht="15.75" customHeight="1" x14ac:dyDescent="0.3">
      <c r="R397" s="71"/>
    </row>
    <row r="398" spans="18:18" ht="15.75" customHeight="1" x14ac:dyDescent="0.3">
      <c r="R398" s="71"/>
    </row>
    <row r="399" spans="18:18" ht="15.75" customHeight="1" x14ac:dyDescent="0.3">
      <c r="R399" s="71"/>
    </row>
    <row r="400" spans="18:18" ht="15.75" customHeight="1" x14ac:dyDescent="0.3">
      <c r="R400" s="71"/>
    </row>
    <row r="401" spans="18:18" ht="15.75" customHeight="1" x14ac:dyDescent="0.3">
      <c r="R401" s="71"/>
    </row>
    <row r="402" spans="18:18" ht="15.75" customHeight="1" x14ac:dyDescent="0.3">
      <c r="R402" s="71"/>
    </row>
    <row r="403" spans="18:18" ht="15.75" customHeight="1" x14ac:dyDescent="0.3">
      <c r="R403" s="71"/>
    </row>
    <row r="404" spans="18:18" ht="15.75" customHeight="1" x14ac:dyDescent="0.3">
      <c r="R404" s="71"/>
    </row>
    <row r="405" spans="18:18" ht="15.75" customHeight="1" x14ac:dyDescent="0.3">
      <c r="R405" s="71"/>
    </row>
    <row r="406" spans="18:18" ht="15.75" customHeight="1" x14ac:dyDescent="0.3">
      <c r="R406" s="71"/>
    </row>
    <row r="407" spans="18:18" ht="15.75" customHeight="1" x14ac:dyDescent="0.3">
      <c r="R407" s="71"/>
    </row>
    <row r="408" spans="18:18" ht="15.75" customHeight="1" x14ac:dyDescent="0.3">
      <c r="R408" s="71"/>
    </row>
    <row r="409" spans="18:18" ht="15.75" customHeight="1" x14ac:dyDescent="0.3">
      <c r="R409" s="71"/>
    </row>
    <row r="410" spans="18:18" ht="15.75" customHeight="1" x14ac:dyDescent="0.3">
      <c r="R410" s="71"/>
    </row>
    <row r="411" spans="18:18" ht="15.75" customHeight="1" x14ac:dyDescent="0.3">
      <c r="R411" s="71"/>
    </row>
    <row r="412" spans="18:18" ht="15.75" customHeight="1" x14ac:dyDescent="0.3">
      <c r="R412" s="71"/>
    </row>
    <row r="413" spans="18:18" ht="15.75" customHeight="1" x14ac:dyDescent="0.3">
      <c r="R413" s="71"/>
    </row>
    <row r="414" spans="18:18" ht="15.75" customHeight="1" x14ac:dyDescent="0.3">
      <c r="R414" s="71"/>
    </row>
    <row r="415" spans="18:18" ht="15.75" customHeight="1" x14ac:dyDescent="0.3">
      <c r="R415" s="71"/>
    </row>
    <row r="416" spans="18:18" ht="15.75" customHeight="1" x14ac:dyDescent="0.3">
      <c r="R416" s="71"/>
    </row>
    <row r="417" spans="18:18" ht="15.75" customHeight="1" x14ac:dyDescent="0.3">
      <c r="R417" s="71"/>
    </row>
    <row r="418" spans="18:18" ht="15.75" customHeight="1" x14ac:dyDescent="0.3">
      <c r="R418" s="71"/>
    </row>
    <row r="419" spans="18:18" ht="15.75" customHeight="1" x14ac:dyDescent="0.3">
      <c r="R419" s="71"/>
    </row>
    <row r="420" spans="18:18" ht="15.75" customHeight="1" x14ac:dyDescent="0.3">
      <c r="R420" s="71"/>
    </row>
    <row r="421" spans="18:18" ht="15.75" customHeight="1" x14ac:dyDescent="0.3">
      <c r="R421" s="71"/>
    </row>
    <row r="422" spans="18:18" ht="15.75" customHeight="1" x14ac:dyDescent="0.3">
      <c r="R422" s="71"/>
    </row>
    <row r="423" spans="18:18" ht="15.75" customHeight="1" x14ac:dyDescent="0.3">
      <c r="R423" s="71"/>
    </row>
    <row r="424" spans="18:18" ht="15.75" customHeight="1" x14ac:dyDescent="0.3">
      <c r="R424" s="71"/>
    </row>
    <row r="425" spans="18:18" ht="15.75" customHeight="1" x14ac:dyDescent="0.3">
      <c r="R425" s="71"/>
    </row>
    <row r="426" spans="18:18" ht="15.75" customHeight="1" x14ac:dyDescent="0.3">
      <c r="R426" s="71"/>
    </row>
    <row r="427" spans="18:18" ht="15.75" customHeight="1" x14ac:dyDescent="0.3">
      <c r="R427" s="71"/>
    </row>
    <row r="428" spans="18:18" ht="15.75" customHeight="1" x14ac:dyDescent="0.3">
      <c r="R428" s="71"/>
    </row>
    <row r="429" spans="18:18" ht="15.75" customHeight="1" x14ac:dyDescent="0.3">
      <c r="R429" s="71"/>
    </row>
    <row r="430" spans="18:18" ht="15.75" customHeight="1" x14ac:dyDescent="0.3">
      <c r="R430" s="71"/>
    </row>
    <row r="431" spans="18:18" ht="15.75" customHeight="1" x14ac:dyDescent="0.3">
      <c r="R431" s="71"/>
    </row>
    <row r="432" spans="18:18" ht="15.75" customHeight="1" x14ac:dyDescent="0.3">
      <c r="R432" s="71"/>
    </row>
    <row r="433" spans="18:18" ht="15.75" customHeight="1" x14ac:dyDescent="0.3">
      <c r="R433" s="71"/>
    </row>
    <row r="434" spans="18:18" ht="15.75" customHeight="1" x14ac:dyDescent="0.3">
      <c r="R434" s="71"/>
    </row>
    <row r="435" spans="18:18" ht="15.75" customHeight="1" x14ac:dyDescent="0.3">
      <c r="R435" s="71"/>
    </row>
    <row r="436" spans="18:18" ht="15.75" customHeight="1" x14ac:dyDescent="0.3">
      <c r="R436" s="71"/>
    </row>
    <row r="437" spans="18:18" ht="15.75" customHeight="1" x14ac:dyDescent="0.3">
      <c r="R437" s="71"/>
    </row>
    <row r="438" spans="18:18" ht="15.75" customHeight="1" x14ac:dyDescent="0.3">
      <c r="R438" s="71"/>
    </row>
    <row r="439" spans="18:18" ht="15.75" customHeight="1" x14ac:dyDescent="0.3">
      <c r="R439" s="71"/>
    </row>
    <row r="440" spans="18:18" ht="15.75" customHeight="1" x14ac:dyDescent="0.3">
      <c r="R440" s="71"/>
    </row>
    <row r="441" spans="18:18" ht="15.75" customHeight="1" x14ac:dyDescent="0.3">
      <c r="R441" s="71"/>
    </row>
    <row r="442" spans="18:18" ht="15.75" customHeight="1" x14ac:dyDescent="0.3">
      <c r="R442" s="71"/>
    </row>
    <row r="443" spans="18:18" ht="15.75" customHeight="1" x14ac:dyDescent="0.3">
      <c r="R443" s="71"/>
    </row>
    <row r="444" spans="18:18" ht="15.75" customHeight="1" x14ac:dyDescent="0.3">
      <c r="R444" s="71"/>
    </row>
    <row r="445" spans="18:18" ht="15.75" customHeight="1" x14ac:dyDescent="0.3">
      <c r="R445" s="71"/>
    </row>
    <row r="446" spans="18:18" ht="15.75" customHeight="1" x14ac:dyDescent="0.3">
      <c r="R446" s="71"/>
    </row>
    <row r="447" spans="18:18" ht="15.75" customHeight="1" x14ac:dyDescent="0.3">
      <c r="R447" s="71"/>
    </row>
    <row r="448" spans="18:18" ht="15.75" customHeight="1" x14ac:dyDescent="0.3">
      <c r="R448" s="71"/>
    </row>
    <row r="449" spans="18:18" ht="15.75" customHeight="1" x14ac:dyDescent="0.3">
      <c r="R449" s="71"/>
    </row>
    <row r="450" spans="18:18" ht="15.75" customHeight="1" x14ac:dyDescent="0.3">
      <c r="R450" s="71"/>
    </row>
    <row r="451" spans="18:18" ht="15.75" customHeight="1" x14ac:dyDescent="0.3">
      <c r="R451" s="71"/>
    </row>
    <row r="452" spans="18:18" ht="15.75" customHeight="1" x14ac:dyDescent="0.3">
      <c r="R452" s="71"/>
    </row>
    <row r="453" spans="18:18" ht="15.75" customHeight="1" x14ac:dyDescent="0.3">
      <c r="R453" s="71"/>
    </row>
    <row r="454" spans="18:18" ht="15.75" customHeight="1" x14ac:dyDescent="0.3">
      <c r="R454" s="71"/>
    </row>
    <row r="455" spans="18:18" ht="15.75" customHeight="1" x14ac:dyDescent="0.3">
      <c r="R455" s="71"/>
    </row>
    <row r="456" spans="18:18" ht="15.75" customHeight="1" x14ac:dyDescent="0.3">
      <c r="R456" s="71"/>
    </row>
    <row r="457" spans="18:18" ht="15.75" customHeight="1" x14ac:dyDescent="0.3">
      <c r="R457" s="71"/>
    </row>
    <row r="458" spans="18:18" ht="15.75" customHeight="1" x14ac:dyDescent="0.3">
      <c r="R458" s="71"/>
    </row>
    <row r="459" spans="18:18" ht="15.75" customHeight="1" x14ac:dyDescent="0.3">
      <c r="R459" s="71"/>
    </row>
    <row r="460" spans="18:18" ht="15.75" customHeight="1" x14ac:dyDescent="0.3">
      <c r="R460" s="71"/>
    </row>
    <row r="461" spans="18:18" ht="15.75" customHeight="1" x14ac:dyDescent="0.3">
      <c r="R461" s="71"/>
    </row>
    <row r="462" spans="18:18" ht="15.75" customHeight="1" x14ac:dyDescent="0.3">
      <c r="R462" s="71"/>
    </row>
    <row r="463" spans="18:18" ht="15.75" customHeight="1" x14ac:dyDescent="0.3">
      <c r="R463" s="71"/>
    </row>
    <row r="464" spans="18:18" ht="15.75" customHeight="1" x14ac:dyDescent="0.3">
      <c r="R464" s="71"/>
    </row>
    <row r="465" spans="18:18" ht="15.75" customHeight="1" x14ac:dyDescent="0.3">
      <c r="R465" s="71"/>
    </row>
    <row r="466" spans="18:18" ht="15.75" customHeight="1" x14ac:dyDescent="0.3">
      <c r="R466" s="71"/>
    </row>
    <row r="467" spans="18:18" ht="15.75" customHeight="1" x14ac:dyDescent="0.3">
      <c r="R467" s="71"/>
    </row>
    <row r="468" spans="18:18" ht="15.75" customHeight="1" x14ac:dyDescent="0.3">
      <c r="R468" s="71"/>
    </row>
    <row r="469" spans="18:18" ht="15.75" customHeight="1" x14ac:dyDescent="0.3">
      <c r="R469" s="71"/>
    </row>
    <row r="470" spans="18:18" ht="15.75" customHeight="1" x14ac:dyDescent="0.3">
      <c r="R470" s="71"/>
    </row>
    <row r="471" spans="18:18" ht="15.75" customHeight="1" x14ac:dyDescent="0.3">
      <c r="R471" s="71"/>
    </row>
    <row r="472" spans="18:18" ht="15.75" customHeight="1" x14ac:dyDescent="0.3">
      <c r="R472" s="71"/>
    </row>
    <row r="473" spans="18:18" ht="15.75" customHeight="1" x14ac:dyDescent="0.3">
      <c r="R473" s="71"/>
    </row>
    <row r="474" spans="18:18" ht="15.75" customHeight="1" x14ac:dyDescent="0.3">
      <c r="R474" s="71"/>
    </row>
    <row r="475" spans="18:18" ht="15.75" customHeight="1" x14ac:dyDescent="0.3">
      <c r="R475" s="71"/>
    </row>
    <row r="476" spans="18:18" ht="15.75" customHeight="1" x14ac:dyDescent="0.3">
      <c r="R476" s="71"/>
    </row>
    <row r="477" spans="18:18" ht="15.75" customHeight="1" x14ac:dyDescent="0.3">
      <c r="R477" s="71"/>
    </row>
    <row r="478" spans="18:18" ht="15.75" customHeight="1" x14ac:dyDescent="0.3">
      <c r="R478" s="71"/>
    </row>
    <row r="479" spans="18:18" ht="15.75" customHeight="1" x14ac:dyDescent="0.3">
      <c r="R479" s="71"/>
    </row>
    <row r="480" spans="18:18" ht="15.75" customHeight="1" x14ac:dyDescent="0.3">
      <c r="R480" s="71"/>
    </row>
    <row r="481" spans="18:18" ht="15.75" customHeight="1" x14ac:dyDescent="0.3">
      <c r="R481" s="71"/>
    </row>
    <row r="482" spans="18:18" ht="15.75" customHeight="1" x14ac:dyDescent="0.3">
      <c r="R482" s="71"/>
    </row>
    <row r="483" spans="18:18" ht="15.75" customHeight="1" x14ac:dyDescent="0.3">
      <c r="R483" s="71"/>
    </row>
    <row r="484" spans="18:18" ht="15.75" customHeight="1" x14ac:dyDescent="0.3">
      <c r="R484" s="71"/>
    </row>
    <row r="485" spans="18:18" ht="15.75" customHeight="1" x14ac:dyDescent="0.3">
      <c r="R485" s="71"/>
    </row>
    <row r="486" spans="18:18" ht="15.75" customHeight="1" x14ac:dyDescent="0.3">
      <c r="R486" s="71"/>
    </row>
    <row r="487" spans="18:18" ht="15.75" customHeight="1" x14ac:dyDescent="0.3">
      <c r="R487" s="71"/>
    </row>
    <row r="488" spans="18:18" ht="15.75" customHeight="1" x14ac:dyDescent="0.3">
      <c r="R488" s="71"/>
    </row>
    <row r="489" spans="18:18" ht="15.75" customHeight="1" x14ac:dyDescent="0.3">
      <c r="R489" s="71"/>
    </row>
    <row r="490" spans="18:18" ht="15.75" customHeight="1" x14ac:dyDescent="0.3">
      <c r="R490" s="71"/>
    </row>
    <row r="491" spans="18:18" ht="15.75" customHeight="1" x14ac:dyDescent="0.3">
      <c r="R491" s="71"/>
    </row>
    <row r="492" spans="18:18" ht="15.75" customHeight="1" x14ac:dyDescent="0.3">
      <c r="R492" s="71"/>
    </row>
    <row r="493" spans="18:18" ht="15.75" customHeight="1" x14ac:dyDescent="0.3">
      <c r="R493" s="71"/>
    </row>
    <row r="494" spans="18:18" ht="15.75" customHeight="1" x14ac:dyDescent="0.3">
      <c r="R494" s="71"/>
    </row>
    <row r="495" spans="18:18" ht="15.75" customHeight="1" x14ac:dyDescent="0.3">
      <c r="R495" s="71"/>
    </row>
    <row r="496" spans="18:18" ht="15.75" customHeight="1" x14ac:dyDescent="0.3">
      <c r="R496" s="71"/>
    </row>
    <row r="497" spans="18:18" ht="15.75" customHeight="1" x14ac:dyDescent="0.3">
      <c r="R497" s="71"/>
    </row>
    <row r="498" spans="18:18" ht="15.75" customHeight="1" x14ac:dyDescent="0.3">
      <c r="R498" s="71"/>
    </row>
    <row r="499" spans="18:18" ht="15.75" customHeight="1" x14ac:dyDescent="0.3">
      <c r="R499" s="71"/>
    </row>
    <row r="500" spans="18:18" ht="15.75" customHeight="1" x14ac:dyDescent="0.3">
      <c r="R500" s="71"/>
    </row>
    <row r="501" spans="18:18" ht="15.75" customHeight="1" x14ac:dyDescent="0.3">
      <c r="R501" s="71"/>
    </row>
    <row r="502" spans="18:18" ht="15.75" customHeight="1" x14ac:dyDescent="0.3">
      <c r="R502" s="71"/>
    </row>
    <row r="503" spans="18:18" ht="15.75" customHeight="1" x14ac:dyDescent="0.3">
      <c r="R503" s="71"/>
    </row>
    <row r="504" spans="18:18" ht="15.75" customHeight="1" x14ac:dyDescent="0.3">
      <c r="R504" s="71"/>
    </row>
    <row r="505" spans="18:18" ht="15.75" customHeight="1" x14ac:dyDescent="0.3">
      <c r="R505" s="71"/>
    </row>
    <row r="506" spans="18:18" ht="15.75" customHeight="1" x14ac:dyDescent="0.3">
      <c r="R506" s="71"/>
    </row>
    <row r="507" spans="18:18" ht="15.75" customHeight="1" x14ac:dyDescent="0.3">
      <c r="R507" s="71"/>
    </row>
    <row r="508" spans="18:18" ht="15.75" customHeight="1" x14ac:dyDescent="0.3">
      <c r="R508" s="71"/>
    </row>
    <row r="509" spans="18:18" ht="15.75" customHeight="1" x14ac:dyDescent="0.3">
      <c r="R509" s="71"/>
    </row>
    <row r="510" spans="18:18" ht="15.75" customHeight="1" x14ac:dyDescent="0.3">
      <c r="R510" s="71"/>
    </row>
    <row r="511" spans="18:18" ht="15.75" customHeight="1" x14ac:dyDescent="0.3">
      <c r="R511" s="71"/>
    </row>
    <row r="512" spans="18:18" ht="15.75" customHeight="1" x14ac:dyDescent="0.3">
      <c r="R512" s="71"/>
    </row>
    <row r="513" spans="18:18" ht="15.75" customHeight="1" x14ac:dyDescent="0.3">
      <c r="R513" s="71"/>
    </row>
    <row r="514" spans="18:18" ht="15.75" customHeight="1" x14ac:dyDescent="0.3">
      <c r="R514" s="71"/>
    </row>
    <row r="515" spans="18:18" ht="15.75" customHeight="1" x14ac:dyDescent="0.3">
      <c r="R515" s="71"/>
    </row>
    <row r="516" spans="18:18" ht="15.75" customHeight="1" x14ac:dyDescent="0.3">
      <c r="R516" s="71"/>
    </row>
    <row r="517" spans="18:18" ht="15.75" customHeight="1" x14ac:dyDescent="0.3">
      <c r="R517" s="71"/>
    </row>
    <row r="518" spans="18:18" ht="15.75" customHeight="1" x14ac:dyDescent="0.3">
      <c r="R518" s="71"/>
    </row>
    <row r="519" spans="18:18" ht="15.75" customHeight="1" x14ac:dyDescent="0.3">
      <c r="R519" s="71"/>
    </row>
    <row r="520" spans="18:18" ht="15.75" customHeight="1" x14ac:dyDescent="0.3">
      <c r="R520" s="71"/>
    </row>
    <row r="521" spans="18:18" ht="15.75" customHeight="1" x14ac:dyDescent="0.3">
      <c r="R521" s="71"/>
    </row>
    <row r="522" spans="18:18" ht="15.75" customHeight="1" x14ac:dyDescent="0.3">
      <c r="R522" s="71"/>
    </row>
    <row r="523" spans="18:18" ht="15.75" customHeight="1" x14ac:dyDescent="0.3">
      <c r="R523" s="71"/>
    </row>
    <row r="524" spans="18:18" ht="15.75" customHeight="1" x14ac:dyDescent="0.3">
      <c r="R524" s="71"/>
    </row>
    <row r="525" spans="18:18" ht="15.75" customHeight="1" x14ac:dyDescent="0.3">
      <c r="R525" s="71"/>
    </row>
    <row r="526" spans="18:18" ht="15.75" customHeight="1" x14ac:dyDescent="0.3">
      <c r="R526" s="71"/>
    </row>
    <row r="527" spans="18:18" ht="15.75" customHeight="1" x14ac:dyDescent="0.3">
      <c r="R527" s="71"/>
    </row>
    <row r="528" spans="18:18" ht="15.75" customHeight="1" x14ac:dyDescent="0.3">
      <c r="R528" s="71"/>
    </row>
    <row r="529" spans="18:18" ht="15.75" customHeight="1" x14ac:dyDescent="0.3">
      <c r="R529" s="71"/>
    </row>
    <row r="530" spans="18:18" ht="15.75" customHeight="1" x14ac:dyDescent="0.3">
      <c r="R530" s="71"/>
    </row>
    <row r="531" spans="18:18" ht="15.75" customHeight="1" x14ac:dyDescent="0.3">
      <c r="R531" s="71"/>
    </row>
    <row r="532" spans="18:18" ht="15.75" customHeight="1" x14ac:dyDescent="0.3">
      <c r="R532" s="71"/>
    </row>
    <row r="533" spans="18:18" ht="15.75" customHeight="1" x14ac:dyDescent="0.3">
      <c r="R533" s="71"/>
    </row>
    <row r="534" spans="18:18" ht="15.75" customHeight="1" x14ac:dyDescent="0.3">
      <c r="R534" s="71"/>
    </row>
    <row r="535" spans="18:18" ht="15.75" customHeight="1" x14ac:dyDescent="0.3">
      <c r="R535" s="71"/>
    </row>
    <row r="536" spans="18:18" ht="15.75" customHeight="1" x14ac:dyDescent="0.3">
      <c r="R536" s="71"/>
    </row>
    <row r="537" spans="18:18" ht="15.75" customHeight="1" x14ac:dyDescent="0.3">
      <c r="R537" s="71"/>
    </row>
    <row r="538" spans="18:18" ht="15.75" customHeight="1" x14ac:dyDescent="0.3">
      <c r="R538" s="71"/>
    </row>
    <row r="539" spans="18:18" ht="15.75" customHeight="1" x14ac:dyDescent="0.3">
      <c r="R539" s="71"/>
    </row>
    <row r="540" spans="18:18" ht="15.75" customHeight="1" x14ac:dyDescent="0.3">
      <c r="R540" s="71"/>
    </row>
    <row r="541" spans="18:18" ht="15.75" customHeight="1" x14ac:dyDescent="0.3">
      <c r="R541" s="71"/>
    </row>
    <row r="542" spans="18:18" ht="15.75" customHeight="1" x14ac:dyDescent="0.3">
      <c r="R542" s="71"/>
    </row>
    <row r="543" spans="18:18" ht="15.75" customHeight="1" x14ac:dyDescent="0.3">
      <c r="R543" s="71"/>
    </row>
    <row r="544" spans="18:18" ht="15.75" customHeight="1" x14ac:dyDescent="0.3">
      <c r="R544" s="71"/>
    </row>
    <row r="545" spans="18:18" ht="15.75" customHeight="1" x14ac:dyDescent="0.3">
      <c r="R545" s="71"/>
    </row>
    <row r="546" spans="18:18" ht="15.75" customHeight="1" x14ac:dyDescent="0.3">
      <c r="R546" s="71"/>
    </row>
    <row r="547" spans="18:18" ht="15.75" customHeight="1" x14ac:dyDescent="0.3">
      <c r="R547" s="71"/>
    </row>
    <row r="548" spans="18:18" ht="15.75" customHeight="1" x14ac:dyDescent="0.3">
      <c r="R548" s="71"/>
    </row>
    <row r="549" spans="18:18" ht="15.75" customHeight="1" x14ac:dyDescent="0.3">
      <c r="R549" s="71"/>
    </row>
    <row r="550" spans="18:18" ht="15.75" customHeight="1" x14ac:dyDescent="0.3">
      <c r="R550" s="71"/>
    </row>
    <row r="551" spans="18:18" ht="15.75" customHeight="1" x14ac:dyDescent="0.3">
      <c r="R551" s="71"/>
    </row>
    <row r="552" spans="18:18" ht="15.75" customHeight="1" x14ac:dyDescent="0.3">
      <c r="R552" s="71"/>
    </row>
    <row r="553" spans="18:18" ht="15.75" customHeight="1" x14ac:dyDescent="0.3">
      <c r="R553" s="71"/>
    </row>
    <row r="554" spans="18:18" ht="15.75" customHeight="1" x14ac:dyDescent="0.3">
      <c r="R554" s="71"/>
    </row>
    <row r="555" spans="18:18" ht="15.75" customHeight="1" x14ac:dyDescent="0.3">
      <c r="R555" s="71"/>
    </row>
    <row r="556" spans="18:18" ht="15.75" customHeight="1" x14ac:dyDescent="0.3">
      <c r="R556" s="71"/>
    </row>
    <row r="557" spans="18:18" ht="15.75" customHeight="1" x14ac:dyDescent="0.3">
      <c r="R557" s="71"/>
    </row>
    <row r="558" spans="18:18" ht="15.75" customHeight="1" x14ac:dyDescent="0.3">
      <c r="R558" s="71"/>
    </row>
    <row r="559" spans="18:18" ht="15.75" customHeight="1" x14ac:dyDescent="0.3">
      <c r="R559" s="71"/>
    </row>
    <row r="560" spans="18:18" ht="15.75" customHeight="1" x14ac:dyDescent="0.3">
      <c r="R560" s="71"/>
    </row>
    <row r="561" spans="18:18" ht="15.75" customHeight="1" x14ac:dyDescent="0.3">
      <c r="R561" s="71"/>
    </row>
    <row r="562" spans="18:18" ht="15.75" customHeight="1" x14ac:dyDescent="0.3">
      <c r="R562" s="71"/>
    </row>
    <row r="563" spans="18:18" ht="15.75" customHeight="1" x14ac:dyDescent="0.3">
      <c r="R563" s="71"/>
    </row>
    <row r="564" spans="18:18" ht="15.75" customHeight="1" x14ac:dyDescent="0.3">
      <c r="R564" s="71"/>
    </row>
    <row r="565" spans="18:18" ht="15.75" customHeight="1" x14ac:dyDescent="0.3">
      <c r="R565" s="71"/>
    </row>
    <row r="566" spans="18:18" ht="15.75" customHeight="1" x14ac:dyDescent="0.3">
      <c r="R566" s="71"/>
    </row>
    <row r="567" spans="18:18" ht="15.75" customHeight="1" x14ac:dyDescent="0.3">
      <c r="R567" s="71"/>
    </row>
    <row r="568" spans="18:18" ht="15.75" customHeight="1" x14ac:dyDescent="0.3">
      <c r="R568" s="71"/>
    </row>
    <row r="569" spans="18:18" ht="15.75" customHeight="1" x14ac:dyDescent="0.3">
      <c r="R569" s="71"/>
    </row>
    <row r="570" spans="18:18" ht="15.75" customHeight="1" x14ac:dyDescent="0.3">
      <c r="R570" s="71"/>
    </row>
    <row r="571" spans="18:18" ht="15.75" customHeight="1" x14ac:dyDescent="0.3">
      <c r="R571" s="71"/>
    </row>
    <row r="572" spans="18:18" ht="15.75" customHeight="1" x14ac:dyDescent="0.3">
      <c r="R572" s="71"/>
    </row>
    <row r="573" spans="18:18" ht="15.75" customHeight="1" x14ac:dyDescent="0.3">
      <c r="R573" s="71"/>
    </row>
    <row r="574" spans="18:18" ht="15.75" customHeight="1" x14ac:dyDescent="0.3">
      <c r="R574" s="71"/>
    </row>
    <row r="575" spans="18:18" ht="15.75" customHeight="1" x14ac:dyDescent="0.3">
      <c r="R575" s="71"/>
    </row>
    <row r="576" spans="18:18" ht="15.75" customHeight="1" x14ac:dyDescent="0.3">
      <c r="R576" s="71"/>
    </row>
    <row r="577" spans="18:18" ht="15.75" customHeight="1" x14ac:dyDescent="0.3">
      <c r="R577" s="71"/>
    </row>
    <row r="578" spans="18:18" ht="15.75" customHeight="1" x14ac:dyDescent="0.3">
      <c r="R578" s="71"/>
    </row>
    <row r="579" spans="18:18" ht="15.75" customHeight="1" x14ac:dyDescent="0.3">
      <c r="R579" s="71"/>
    </row>
    <row r="580" spans="18:18" ht="15.75" customHeight="1" x14ac:dyDescent="0.3">
      <c r="R580" s="71"/>
    </row>
    <row r="581" spans="18:18" ht="15.75" customHeight="1" x14ac:dyDescent="0.3">
      <c r="R581" s="71"/>
    </row>
    <row r="582" spans="18:18" ht="15.75" customHeight="1" x14ac:dyDescent="0.3">
      <c r="R582" s="71"/>
    </row>
    <row r="583" spans="18:18" ht="15.75" customHeight="1" x14ac:dyDescent="0.3">
      <c r="R583" s="71"/>
    </row>
    <row r="584" spans="18:18" ht="15.75" customHeight="1" x14ac:dyDescent="0.3">
      <c r="R584" s="71"/>
    </row>
    <row r="585" spans="18:18" ht="15.75" customHeight="1" x14ac:dyDescent="0.3">
      <c r="R585" s="71"/>
    </row>
    <row r="586" spans="18:18" ht="15.75" customHeight="1" x14ac:dyDescent="0.3">
      <c r="R586" s="71"/>
    </row>
    <row r="587" spans="18:18" ht="15.75" customHeight="1" x14ac:dyDescent="0.3">
      <c r="R587" s="71"/>
    </row>
    <row r="588" spans="18:18" ht="15.75" customHeight="1" x14ac:dyDescent="0.3">
      <c r="R588" s="71"/>
    </row>
    <row r="589" spans="18:18" ht="15.75" customHeight="1" x14ac:dyDescent="0.3">
      <c r="R589" s="71"/>
    </row>
    <row r="590" spans="18:18" ht="15.75" customHeight="1" x14ac:dyDescent="0.3">
      <c r="R590" s="71"/>
    </row>
    <row r="591" spans="18:18" ht="15.75" customHeight="1" x14ac:dyDescent="0.3">
      <c r="R591" s="71"/>
    </row>
    <row r="592" spans="18:18" ht="15.75" customHeight="1" x14ac:dyDescent="0.3">
      <c r="R592" s="71"/>
    </row>
    <row r="593" spans="18:18" ht="15.75" customHeight="1" x14ac:dyDescent="0.3">
      <c r="R593" s="71"/>
    </row>
    <row r="594" spans="18:18" ht="15.75" customHeight="1" x14ac:dyDescent="0.3">
      <c r="R594" s="71"/>
    </row>
    <row r="595" spans="18:18" ht="15.75" customHeight="1" x14ac:dyDescent="0.3">
      <c r="R595" s="71"/>
    </row>
    <row r="596" spans="18:18" ht="15.75" customHeight="1" x14ac:dyDescent="0.3">
      <c r="R596" s="71"/>
    </row>
    <row r="597" spans="18:18" ht="15.75" customHeight="1" x14ac:dyDescent="0.3">
      <c r="R597" s="71"/>
    </row>
    <row r="598" spans="18:18" ht="15.75" customHeight="1" x14ac:dyDescent="0.3">
      <c r="R598" s="71"/>
    </row>
    <row r="599" spans="18:18" ht="15.75" customHeight="1" x14ac:dyDescent="0.3">
      <c r="R599" s="71"/>
    </row>
    <row r="600" spans="18:18" ht="15.75" customHeight="1" x14ac:dyDescent="0.3">
      <c r="R600" s="71"/>
    </row>
    <row r="601" spans="18:18" ht="15.75" customHeight="1" x14ac:dyDescent="0.3">
      <c r="R601" s="71"/>
    </row>
    <row r="602" spans="18:18" ht="15.75" customHeight="1" x14ac:dyDescent="0.3">
      <c r="R602" s="71"/>
    </row>
    <row r="603" spans="18:18" ht="15.75" customHeight="1" x14ac:dyDescent="0.3">
      <c r="R603" s="71"/>
    </row>
    <row r="604" spans="18:18" ht="15.75" customHeight="1" x14ac:dyDescent="0.3">
      <c r="R604" s="71"/>
    </row>
    <row r="605" spans="18:18" ht="15.75" customHeight="1" x14ac:dyDescent="0.3">
      <c r="R605" s="71"/>
    </row>
    <row r="606" spans="18:18" ht="15.75" customHeight="1" x14ac:dyDescent="0.3">
      <c r="R606" s="71"/>
    </row>
    <row r="607" spans="18:18" ht="15.75" customHeight="1" x14ac:dyDescent="0.3">
      <c r="R607" s="71"/>
    </row>
    <row r="608" spans="18:18" ht="15.75" customHeight="1" x14ac:dyDescent="0.3">
      <c r="R608" s="71"/>
    </row>
    <row r="609" spans="18:18" ht="15.75" customHeight="1" x14ac:dyDescent="0.3">
      <c r="R609" s="71"/>
    </row>
    <row r="610" spans="18:18" ht="15.75" customHeight="1" x14ac:dyDescent="0.3">
      <c r="R610" s="71"/>
    </row>
    <row r="611" spans="18:18" ht="15.75" customHeight="1" x14ac:dyDescent="0.3">
      <c r="R611" s="71"/>
    </row>
    <row r="612" spans="18:18" ht="15.75" customHeight="1" x14ac:dyDescent="0.3">
      <c r="R612" s="71"/>
    </row>
    <row r="613" spans="18:18" ht="15.75" customHeight="1" x14ac:dyDescent="0.3">
      <c r="R613" s="71"/>
    </row>
    <row r="614" spans="18:18" ht="15.75" customHeight="1" x14ac:dyDescent="0.3">
      <c r="R614" s="71"/>
    </row>
    <row r="615" spans="18:18" ht="15.75" customHeight="1" x14ac:dyDescent="0.3">
      <c r="R615" s="71"/>
    </row>
    <row r="616" spans="18:18" ht="15.75" customHeight="1" x14ac:dyDescent="0.3">
      <c r="R616" s="71"/>
    </row>
    <row r="617" spans="18:18" ht="15.75" customHeight="1" x14ac:dyDescent="0.3">
      <c r="R617" s="71"/>
    </row>
    <row r="618" spans="18:18" ht="15.75" customHeight="1" x14ac:dyDescent="0.3">
      <c r="R618" s="71"/>
    </row>
    <row r="619" spans="18:18" ht="15.75" customHeight="1" x14ac:dyDescent="0.3">
      <c r="R619" s="71"/>
    </row>
    <row r="620" spans="18:18" ht="15.75" customHeight="1" x14ac:dyDescent="0.3">
      <c r="R620" s="71"/>
    </row>
    <row r="621" spans="18:18" ht="15.75" customHeight="1" x14ac:dyDescent="0.3">
      <c r="R621" s="71"/>
    </row>
    <row r="622" spans="18:18" ht="15.75" customHeight="1" x14ac:dyDescent="0.3">
      <c r="R622" s="71"/>
    </row>
    <row r="623" spans="18:18" ht="15.75" customHeight="1" x14ac:dyDescent="0.3">
      <c r="R623" s="71"/>
    </row>
    <row r="624" spans="18:18" ht="15.75" customHeight="1" x14ac:dyDescent="0.3">
      <c r="R624" s="71"/>
    </row>
    <row r="625" spans="18:18" ht="15.75" customHeight="1" x14ac:dyDescent="0.3">
      <c r="R625" s="71"/>
    </row>
    <row r="626" spans="18:18" ht="15.75" customHeight="1" x14ac:dyDescent="0.3">
      <c r="R626" s="71"/>
    </row>
    <row r="627" spans="18:18" ht="15.75" customHeight="1" x14ac:dyDescent="0.3">
      <c r="R627" s="71"/>
    </row>
    <row r="628" spans="18:18" ht="15.75" customHeight="1" x14ac:dyDescent="0.3">
      <c r="R628" s="71"/>
    </row>
    <row r="629" spans="18:18" ht="15.75" customHeight="1" x14ac:dyDescent="0.3">
      <c r="R629" s="71"/>
    </row>
    <row r="630" spans="18:18" ht="15.75" customHeight="1" x14ac:dyDescent="0.3">
      <c r="R630" s="71"/>
    </row>
    <row r="631" spans="18:18" ht="15.75" customHeight="1" x14ac:dyDescent="0.3">
      <c r="R631" s="71"/>
    </row>
    <row r="632" spans="18:18" ht="15.75" customHeight="1" x14ac:dyDescent="0.3">
      <c r="R632" s="71"/>
    </row>
    <row r="633" spans="18:18" ht="15.75" customHeight="1" x14ac:dyDescent="0.3">
      <c r="R633" s="71"/>
    </row>
    <row r="634" spans="18:18" ht="15.75" customHeight="1" x14ac:dyDescent="0.3">
      <c r="R634" s="71"/>
    </row>
    <row r="635" spans="18:18" ht="15.75" customHeight="1" x14ac:dyDescent="0.3">
      <c r="R635" s="71"/>
    </row>
    <row r="636" spans="18:18" ht="15.75" customHeight="1" x14ac:dyDescent="0.3">
      <c r="R636" s="71"/>
    </row>
    <row r="637" spans="18:18" ht="15.75" customHeight="1" x14ac:dyDescent="0.3">
      <c r="R637" s="71"/>
    </row>
    <row r="638" spans="18:18" ht="15.75" customHeight="1" x14ac:dyDescent="0.3">
      <c r="R638" s="71"/>
    </row>
    <row r="639" spans="18:18" ht="15.75" customHeight="1" x14ac:dyDescent="0.3">
      <c r="R639" s="71"/>
    </row>
    <row r="640" spans="18:18" ht="15.75" customHeight="1" x14ac:dyDescent="0.3">
      <c r="R640" s="71"/>
    </row>
    <row r="641" spans="18:18" ht="15.75" customHeight="1" x14ac:dyDescent="0.3">
      <c r="R641" s="71"/>
    </row>
    <row r="642" spans="18:18" ht="15.75" customHeight="1" x14ac:dyDescent="0.3">
      <c r="R642" s="71"/>
    </row>
    <row r="643" spans="18:18" ht="15.75" customHeight="1" x14ac:dyDescent="0.3">
      <c r="R643" s="71"/>
    </row>
    <row r="644" spans="18:18" ht="15.75" customHeight="1" x14ac:dyDescent="0.3">
      <c r="R644" s="71"/>
    </row>
    <row r="645" spans="18:18" ht="15.75" customHeight="1" x14ac:dyDescent="0.3">
      <c r="R645" s="71"/>
    </row>
    <row r="646" spans="18:18" ht="15.75" customHeight="1" x14ac:dyDescent="0.3">
      <c r="R646" s="71"/>
    </row>
    <row r="647" spans="18:18" ht="15.75" customHeight="1" x14ac:dyDescent="0.3">
      <c r="R647" s="71"/>
    </row>
    <row r="648" spans="18:18" ht="15.75" customHeight="1" x14ac:dyDescent="0.3">
      <c r="R648" s="71"/>
    </row>
    <row r="649" spans="18:18" ht="15.75" customHeight="1" x14ac:dyDescent="0.3">
      <c r="R649" s="71"/>
    </row>
    <row r="650" spans="18:18" ht="15.75" customHeight="1" x14ac:dyDescent="0.3">
      <c r="R650" s="71"/>
    </row>
    <row r="651" spans="18:18" ht="15.75" customHeight="1" x14ac:dyDescent="0.3">
      <c r="R651" s="71"/>
    </row>
    <row r="652" spans="18:18" ht="15.75" customHeight="1" x14ac:dyDescent="0.3">
      <c r="R652" s="71"/>
    </row>
    <row r="653" spans="18:18" ht="15.75" customHeight="1" x14ac:dyDescent="0.3">
      <c r="R653" s="71"/>
    </row>
    <row r="654" spans="18:18" ht="15.75" customHeight="1" x14ac:dyDescent="0.3">
      <c r="R654" s="71"/>
    </row>
    <row r="655" spans="18:18" ht="15.75" customHeight="1" x14ac:dyDescent="0.3">
      <c r="R655" s="71"/>
    </row>
    <row r="656" spans="18:18" ht="15.75" customHeight="1" x14ac:dyDescent="0.3">
      <c r="R656" s="71"/>
    </row>
    <row r="657" spans="18:18" ht="15.75" customHeight="1" x14ac:dyDescent="0.3">
      <c r="R657" s="71"/>
    </row>
    <row r="658" spans="18:18" ht="15.75" customHeight="1" x14ac:dyDescent="0.3">
      <c r="R658" s="71"/>
    </row>
    <row r="659" spans="18:18" ht="15.75" customHeight="1" x14ac:dyDescent="0.3">
      <c r="R659" s="71"/>
    </row>
    <row r="660" spans="18:18" ht="15.75" customHeight="1" x14ac:dyDescent="0.3">
      <c r="R660" s="71"/>
    </row>
    <row r="661" spans="18:18" ht="15.75" customHeight="1" x14ac:dyDescent="0.3">
      <c r="R661" s="71"/>
    </row>
    <row r="662" spans="18:18" ht="15.75" customHeight="1" x14ac:dyDescent="0.3">
      <c r="R662" s="71"/>
    </row>
    <row r="663" spans="18:18" ht="15.75" customHeight="1" x14ac:dyDescent="0.3">
      <c r="R663" s="71"/>
    </row>
    <row r="664" spans="18:18" ht="15.75" customHeight="1" x14ac:dyDescent="0.3">
      <c r="R664" s="71"/>
    </row>
    <row r="665" spans="18:18" ht="15.75" customHeight="1" x14ac:dyDescent="0.3">
      <c r="R665" s="71"/>
    </row>
    <row r="666" spans="18:18" ht="15.75" customHeight="1" x14ac:dyDescent="0.3">
      <c r="R666" s="71"/>
    </row>
    <row r="667" spans="18:18" ht="15.75" customHeight="1" x14ac:dyDescent="0.3">
      <c r="R667" s="71"/>
    </row>
    <row r="668" spans="18:18" ht="15.75" customHeight="1" x14ac:dyDescent="0.3">
      <c r="R668" s="71"/>
    </row>
    <row r="669" spans="18:18" ht="15.75" customHeight="1" x14ac:dyDescent="0.3">
      <c r="R669" s="71"/>
    </row>
    <row r="670" spans="18:18" ht="15.75" customHeight="1" x14ac:dyDescent="0.3">
      <c r="R670" s="71"/>
    </row>
    <row r="671" spans="18:18" ht="15.75" customHeight="1" x14ac:dyDescent="0.3">
      <c r="R671" s="71"/>
    </row>
    <row r="672" spans="18:18" ht="15.75" customHeight="1" x14ac:dyDescent="0.3">
      <c r="R672" s="71"/>
    </row>
    <row r="673" spans="18:18" ht="15.75" customHeight="1" x14ac:dyDescent="0.3">
      <c r="R673" s="71"/>
    </row>
    <row r="674" spans="18:18" ht="15.75" customHeight="1" x14ac:dyDescent="0.3">
      <c r="R674" s="71"/>
    </row>
    <row r="675" spans="18:18" ht="15.75" customHeight="1" x14ac:dyDescent="0.3">
      <c r="R675" s="71"/>
    </row>
    <row r="676" spans="18:18" ht="15.75" customHeight="1" x14ac:dyDescent="0.3">
      <c r="R676" s="71"/>
    </row>
    <row r="677" spans="18:18" ht="15.75" customHeight="1" x14ac:dyDescent="0.3">
      <c r="R677" s="71"/>
    </row>
    <row r="678" spans="18:18" ht="15.75" customHeight="1" x14ac:dyDescent="0.3">
      <c r="R678" s="71"/>
    </row>
    <row r="679" spans="18:18" ht="15.75" customHeight="1" x14ac:dyDescent="0.3">
      <c r="R679" s="71"/>
    </row>
    <row r="680" spans="18:18" ht="15.75" customHeight="1" x14ac:dyDescent="0.3">
      <c r="R680" s="71"/>
    </row>
    <row r="681" spans="18:18" ht="15.75" customHeight="1" x14ac:dyDescent="0.3">
      <c r="R681" s="71"/>
    </row>
    <row r="682" spans="18:18" ht="15.75" customHeight="1" x14ac:dyDescent="0.3">
      <c r="R682" s="71"/>
    </row>
    <row r="683" spans="18:18" ht="15.75" customHeight="1" x14ac:dyDescent="0.3">
      <c r="R683" s="71"/>
    </row>
    <row r="684" spans="18:18" ht="15.75" customHeight="1" x14ac:dyDescent="0.3">
      <c r="R684" s="71"/>
    </row>
    <row r="685" spans="18:18" ht="15.75" customHeight="1" x14ac:dyDescent="0.3">
      <c r="R685" s="71"/>
    </row>
    <row r="686" spans="18:18" ht="15.75" customHeight="1" x14ac:dyDescent="0.3">
      <c r="R686" s="71"/>
    </row>
    <row r="687" spans="18:18" ht="15.75" customHeight="1" x14ac:dyDescent="0.3">
      <c r="R687" s="71"/>
    </row>
    <row r="688" spans="18:18" ht="15.75" customHeight="1" x14ac:dyDescent="0.3">
      <c r="R688" s="71"/>
    </row>
    <row r="689" spans="18:18" ht="15.75" customHeight="1" x14ac:dyDescent="0.3">
      <c r="R689" s="71"/>
    </row>
    <row r="690" spans="18:18" ht="15.75" customHeight="1" x14ac:dyDescent="0.3">
      <c r="R690" s="71"/>
    </row>
    <row r="691" spans="18:18" ht="15.75" customHeight="1" x14ac:dyDescent="0.3">
      <c r="R691" s="71"/>
    </row>
    <row r="692" spans="18:18" ht="15.75" customHeight="1" x14ac:dyDescent="0.3">
      <c r="R692" s="71"/>
    </row>
    <row r="693" spans="18:18" ht="15.75" customHeight="1" x14ac:dyDescent="0.3">
      <c r="R693" s="71"/>
    </row>
    <row r="694" spans="18:18" ht="15.75" customHeight="1" x14ac:dyDescent="0.3">
      <c r="R694" s="71"/>
    </row>
    <row r="695" spans="18:18" ht="15.75" customHeight="1" x14ac:dyDescent="0.3">
      <c r="R695" s="71"/>
    </row>
    <row r="696" spans="18:18" ht="15.75" customHeight="1" x14ac:dyDescent="0.3">
      <c r="R696" s="71"/>
    </row>
    <row r="697" spans="18:18" ht="15.75" customHeight="1" x14ac:dyDescent="0.3">
      <c r="R697" s="71"/>
    </row>
    <row r="698" spans="18:18" ht="15.75" customHeight="1" x14ac:dyDescent="0.3">
      <c r="R698" s="71"/>
    </row>
    <row r="699" spans="18:18" ht="15.75" customHeight="1" x14ac:dyDescent="0.3">
      <c r="R699" s="71"/>
    </row>
    <row r="700" spans="18:18" ht="15.75" customHeight="1" x14ac:dyDescent="0.3">
      <c r="R700" s="71"/>
    </row>
    <row r="701" spans="18:18" ht="15.75" customHeight="1" x14ac:dyDescent="0.3">
      <c r="R701" s="71"/>
    </row>
    <row r="702" spans="18:18" ht="15.75" customHeight="1" x14ac:dyDescent="0.3">
      <c r="R702" s="71"/>
    </row>
    <row r="703" spans="18:18" ht="15.75" customHeight="1" x14ac:dyDescent="0.3">
      <c r="R703" s="71"/>
    </row>
    <row r="704" spans="18:18" ht="15.75" customHeight="1" x14ac:dyDescent="0.3">
      <c r="R704" s="71"/>
    </row>
    <row r="705" spans="18:18" ht="15.75" customHeight="1" x14ac:dyDescent="0.3">
      <c r="R705" s="71"/>
    </row>
    <row r="706" spans="18:18" ht="15.75" customHeight="1" x14ac:dyDescent="0.3">
      <c r="R706" s="71"/>
    </row>
    <row r="707" spans="18:18" ht="15.75" customHeight="1" x14ac:dyDescent="0.3">
      <c r="R707" s="71"/>
    </row>
    <row r="708" spans="18:18" ht="15.75" customHeight="1" x14ac:dyDescent="0.3">
      <c r="R708" s="71"/>
    </row>
    <row r="709" spans="18:18" ht="15.75" customHeight="1" x14ac:dyDescent="0.3">
      <c r="R709" s="71"/>
    </row>
    <row r="710" spans="18:18" ht="15.75" customHeight="1" x14ac:dyDescent="0.3">
      <c r="R710" s="71"/>
    </row>
    <row r="711" spans="18:18" ht="15.75" customHeight="1" x14ac:dyDescent="0.3">
      <c r="R711" s="71"/>
    </row>
    <row r="712" spans="18:18" ht="15.75" customHeight="1" x14ac:dyDescent="0.3">
      <c r="R712" s="71"/>
    </row>
    <row r="713" spans="18:18" ht="15.75" customHeight="1" x14ac:dyDescent="0.3">
      <c r="R713" s="71"/>
    </row>
    <row r="714" spans="18:18" ht="15.75" customHeight="1" x14ac:dyDescent="0.3">
      <c r="R714" s="71"/>
    </row>
    <row r="715" spans="18:18" ht="15.75" customHeight="1" x14ac:dyDescent="0.3">
      <c r="R715" s="71"/>
    </row>
    <row r="716" spans="18:18" ht="15.75" customHeight="1" x14ac:dyDescent="0.3">
      <c r="R716" s="71"/>
    </row>
    <row r="717" spans="18:18" ht="15.75" customHeight="1" x14ac:dyDescent="0.3">
      <c r="R717" s="71"/>
    </row>
    <row r="718" spans="18:18" ht="15.75" customHeight="1" x14ac:dyDescent="0.3">
      <c r="R718" s="71"/>
    </row>
    <row r="719" spans="18:18" ht="15.75" customHeight="1" x14ac:dyDescent="0.3">
      <c r="R719" s="71"/>
    </row>
    <row r="720" spans="18:18" ht="15.75" customHeight="1" x14ac:dyDescent="0.3">
      <c r="R720" s="71"/>
    </row>
    <row r="721" spans="18:18" ht="15.75" customHeight="1" x14ac:dyDescent="0.3">
      <c r="R721" s="71"/>
    </row>
    <row r="722" spans="18:18" ht="15.75" customHeight="1" x14ac:dyDescent="0.3">
      <c r="R722" s="71"/>
    </row>
    <row r="723" spans="18:18" ht="15.75" customHeight="1" x14ac:dyDescent="0.3">
      <c r="R723" s="71"/>
    </row>
    <row r="724" spans="18:18" ht="15.75" customHeight="1" x14ac:dyDescent="0.3">
      <c r="R724" s="71"/>
    </row>
    <row r="725" spans="18:18" ht="15.75" customHeight="1" x14ac:dyDescent="0.3">
      <c r="R725" s="71"/>
    </row>
    <row r="726" spans="18:18" ht="15.75" customHeight="1" x14ac:dyDescent="0.3">
      <c r="R726" s="71"/>
    </row>
    <row r="727" spans="18:18" ht="15.75" customHeight="1" x14ac:dyDescent="0.3">
      <c r="R727" s="71"/>
    </row>
    <row r="728" spans="18:18" ht="15.75" customHeight="1" x14ac:dyDescent="0.3">
      <c r="R728" s="71"/>
    </row>
    <row r="729" spans="18:18" ht="15.75" customHeight="1" x14ac:dyDescent="0.3">
      <c r="R729" s="71"/>
    </row>
    <row r="730" spans="18:18" ht="15.75" customHeight="1" x14ac:dyDescent="0.3">
      <c r="R730" s="71"/>
    </row>
    <row r="731" spans="18:18" ht="15.75" customHeight="1" x14ac:dyDescent="0.3">
      <c r="R731" s="71"/>
    </row>
    <row r="732" spans="18:18" ht="15.75" customHeight="1" x14ac:dyDescent="0.3">
      <c r="R732" s="71"/>
    </row>
    <row r="733" spans="18:18" ht="15.75" customHeight="1" x14ac:dyDescent="0.3">
      <c r="R733" s="71"/>
    </row>
    <row r="734" spans="18:18" ht="15.75" customHeight="1" x14ac:dyDescent="0.3">
      <c r="R734" s="71"/>
    </row>
    <row r="735" spans="18:18" ht="15.75" customHeight="1" x14ac:dyDescent="0.3">
      <c r="R735" s="71"/>
    </row>
    <row r="736" spans="18:18" ht="15.75" customHeight="1" x14ac:dyDescent="0.3">
      <c r="R736" s="71"/>
    </row>
    <row r="737" spans="18:18" ht="15.75" customHeight="1" x14ac:dyDescent="0.3">
      <c r="R737" s="71"/>
    </row>
    <row r="738" spans="18:18" ht="15.75" customHeight="1" x14ac:dyDescent="0.3">
      <c r="R738" s="71"/>
    </row>
    <row r="739" spans="18:18" ht="15.75" customHeight="1" x14ac:dyDescent="0.3">
      <c r="R739" s="71"/>
    </row>
    <row r="740" spans="18:18" ht="15.75" customHeight="1" x14ac:dyDescent="0.3">
      <c r="R740" s="71"/>
    </row>
    <row r="741" spans="18:18" ht="15.75" customHeight="1" x14ac:dyDescent="0.3">
      <c r="R741" s="71"/>
    </row>
    <row r="742" spans="18:18" ht="15.75" customHeight="1" x14ac:dyDescent="0.3">
      <c r="R742" s="71"/>
    </row>
    <row r="743" spans="18:18" ht="15.75" customHeight="1" x14ac:dyDescent="0.3">
      <c r="R743" s="71"/>
    </row>
    <row r="744" spans="18:18" ht="15.75" customHeight="1" x14ac:dyDescent="0.3">
      <c r="R744" s="71"/>
    </row>
    <row r="745" spans="18:18" ht="15.75" customHeight="1" x14ac:dyDescent="0.3">
      <c r="R745" s="71"/>
    </row>
    <row r="746" spans="18:18" ht="15.75" customHeight="1" x14ac:dyDescent="0.3">
      <c r="R746" s="71"/>
    </row>
    <row r="747" spans="18:18" ht="15.75" customHeight="1" x14ac:dyDescent="0.3">
      <c r="R747" s="71"/>
    </row>
    <row r="748" spans="18:18" ht="15.75" customHeight="1" x14ac:dyDescent="0.3">
      <c r="R748" s="71"/>
    </row>
    <row r="749" spans="18:18" ht="15.75" customHeight="1" x14ac:dyDescent="0.3">
      <c r="R749" s="71"/>
    </row>
    <row r="750" spans="18:18" ht="15.75" customHeight="1" x14ac:dyDescent="0.3">
      <c r="R750" s="71"/>
    </row>
    <row r="751" spans="18:18" ht="15.75" customHeight="1" x14ac:dyDescent="0.3">
      <c r="R751" s="71"/>
    </row>
    <row r="752" spans="18:18" ht="15.75" customHeight="1" x14ac:dyDescent="0.3">
      <c r="R752" s="71"/>
    </row>
    <row r="753" spans="18:18" ht="15.75" customHeight="1" x14ac:dyDescent="0.3">
      <c r="R753" s="71"/>
    </row>
    <row r="754" spans="18:18" ht="15.75" customHeight="1" x14ac:dyDescent="0.3">
      <c r="R754" s="71"/>
    </row>
    <row r="755" spans="18:18" ht="15.75" customHeight="1" x14ac:dyDescent="0.3">
      <c r="R755" s="71"/>
    </row>
    <row r="756" spans="18:18" ht="15.75" customHeight="1" x14ac:dyDescent="0.3">
      <c r="R756" s="71"/>
    </row>
    <row r="757" spans="18:18" ht="15.75" customHeight="1" x14ac:dyDescent="0.3">
      <c r="R757" s="71"/>
    </row>
    <row r="758" spans="18:18" ht="15.75" customHeight="1" x14ac:dyDescent="0.3">
      <c r="R758" s="71"/>
    </row>
    <row r="759" spans="18:18" ht="15.75" customHeight="1" x14ac:dyDescent="0.3">
      <c r="R759" s="71"/>
    </row>
    <row r="760" spans="18:18" ht="15.75" customHeight="1" x14ac:dyDescent="0.3">
      <c r="R760" s="71"/>
    </row>
    <row r="761" spans="18:18" ht="15.75" customHeight="1" x14ac:dyDescent="0.3">
      <c r="R761" s="71"/>
    </row>
    <row r="762" spans="18:18" ht="15.75" customHeight="1" x14ac:dyDescent="0.3">
      <c r="R762" s="71"/>
    </row>
    <row r="763" spans="18:18" ht="15.75" customHeight="1" x14ac:dyDescent="0.3">
      <c r="R763" s="71"/>
    </row>
    <row r="764" spans="18:18" ht="15.75" customHeight="1" x14ac:dyDescent="0.3">
      <c r="R764" s="71"/>
    </row>
    <row r="765" spans="18:18" ht="15.75" customHeight="1" x14ac:dyDescent="0.3">
      <c r="R765" s="71"/>
    </row>
    <row r="766" spans="18:18" ht="15.75" customHeight="1" x14ac:dyDescent="0.3">
      <c r="R766" s="71"/>
    </row>
    <row r="767" spans="18:18" ht="15.75" customHeight="1" x14ac:dyDescent="0.3">
      <c r="R767" s="71"/>
    </row>
    <row r="768" spans="18:18" ht="15.75" customHeight="1" x14ac:dyDescent="0.3">
      <c r="R768" s="71"/>
    </row>
    <row r="769" spans="18:18" ht="15.75" customHeight="1" x14ac:dyDescent="0.3">
      <c r="R769" s="71"/>
    </row>
    <row r="770" spans="18:18" ht="15.75" customHeight="1" x14ac:dyDescent="0.3">
      <c r="R770" s="71"/>
    </row>
    <row r="771" spans="18:18" ht="15.75" customHeight="1" x14ac:dyDescent="0.3">
      <c r="R771" s="71"/>
    </row>
    <row r="772" spans="18:18" ht="15.75" customHeight="1" x14ac:dyDescent="0.3">
      <c r="R772" s="71"/>
    </row>
    <row r="773" spans="18:18" ht="15.75" customHeight="1" x14ac:dyDescent="0.3">
      <c r="R773" s="71"/>
    </row>
    <row r="774" spans="18:18" ht="15.75" customHeight="1" x14ac:dyDescent="0.3">
      <c r="R774" s="71"/>
    </row>
    <row r="775" spans="18:18" ht="15.75" customHeight="1" x14ac:dyDescent="0.3">
      <c r="R775" s="71"/>
    </row>
    <row r="776" spans="18:18" ht="15.75" customHeight="1" x14ac:dyDescent="0.3">
      <c r="R776" s="71"/>
    </row>
    <row r="777" spans="18:18" ht="15.75" customHeight="1" x14ac:dyDescent="0.3">
      <c r="R777" s="71"/>
    </row>
    <row r="778" spans="18:18" ht="15.75" customHeight="1" x14ac:dyDescent="0.3">
      <c r="R778" s="71"/>
    </row>
    <row r="779" spans="18:18" ht="15.75" customHeight="1" x14ac:dyDescent="0.3">
      <c r="R779" s="71"/>
    </row>
    <row r="780" spans="18:18" ht="15.75" customHeight="1" x14ac:dyDescent="0.3">
      <c r="R780" s="71"/>
    </row>
    <row r="781" spans="18:18" ht="15.75" customHeight="1" x14ac:dyDescent="0.3">
      <c r="R781" s="71"/>
    </row>
    <row r="782" spans="18:18" ht="15.75" customHeight="1" x14ac:dyDescent="0.3">
      <c r="R782" s="71"/>
    </row>
    <row r="783" spans="18:18" ht="15.75" customHeight="1" x14ac:dyDescent="0.3">
      <c r="R783" s="71"/>
    </row>
    <row r="784" spans="18:18" ht="15.75" customHeight="1" x14ac:dyDescent="0.3">
      <c r="R784" s="71"/>
    </row>
    <row r="785" spans="18:18" ht="15.75" customHeight="1" x14ac:dyDescent="0.3">
      <c r="R785" s="71"/>
    </row>
    <row r="786" spans="18:18" ht="15.75" customHeight="1" x14ac:dyDescent="0.3">
      <c r="R786" s="71"/>
    </row>
    <row r="787" spans="18:18" ht="15.75" customHeight="1" x14ac:dyDescent="0.3">
      <c r="R787" s="71"/>
    </row>
    <row r="788" spans="18:18" ht="15.75" customHeight="1" x14ac:dyDescent="0.3">
      <c r="R788" s="71"/>
    </row>
    <row r="789" spans="18:18" ht="15.75" customHeight="1" x14ac:dyDescent="0.3">
      <c r="R789" s="71"/>
    </row>
    <row r="790" spans="18:18" ht="15.75" customHeight="1" x14ac:dyDescent="0.3">
      <c r="R790" s="71"/>
    </row>
    <row r="791" spans="18:18" ht="15.75" customHeight="1" x14ac:dyDescent="0.3">
      <c r="R791" s="71"/>
    </row>
    <row r="792" spans="18:18" ht="15.75" customHeight="1" x14ac:dyDescent="0.3">
      <c r="R792" s="71"/>
    </row>
    <row r="793" spans="18:18" ht="15.75" customHeight="1" x14ac:dyDescent="0.3">
      <c r="R793" s="71"/>
    </row>
    <row r="794" spans="18:18" ht="15.75" customHeight="1" x14ac:dyDescent="0.3">
      <c r="R794" s="71"/>
    </row>
    <row r="795" spans="18:18" ht="15.75" customHeight="1" x14ac:dyDescent="0.3">
      <c r="R795" s="71"/>
    </row>
    <row r="796" spans="18:18" ht="15.75" customHeight="1" x14ac:dyDescent="0.3">
      <c r="R796" s="71"/>
    </row>
    <row r="797" spans="18:18" ht="15.75" customHeight="1" x14ac:dyDescent="0.3">
      <c r="R797" s="71"/>
    </row>
    <row r="798" spans="18:18" ht="15.75" customHeight="1" x14ac:dyDescent="0.3">
      <c r="R798" s="71"/>
    </row>
    <row r="799" spans="18:18" ht="15.75" customHeight="1" x14ac:dyDescent="0.3">
      <c r="R799" s="71"/>
    </row>
    <row r="800" spans="18:18" ht="15.75" customHeight="1" x14ac:dyDescent="0.3">
      <c r="R800" s="71"/>
    </row>
    <row r="801" spans="18:18" ht="15.75" customHeight="1" x14ac:dyDescent="0.3">
      <c r="R801" s="71"/>
    </row>
    <row r="802" spans="18:18" ht="15.75" customHeight="1" x14ac:dyDescent="0.3">
      <c r="R802" s="71"/>
    </row>
    <row r="803" spans="18:18" ht="15.75" customHeight="1" x14ac:dyDescent="0.3">
      <c r="R803" s="71"/>
    </row>
    <row r="804" spans="18:18" ht="15.75" customHeight="1" x14ac:dyDescent="0.3">
      <c r="R804" s="71"/>
    </row>
    <row r="805" spans="18:18" ht="15.75" customHeight="1" x14ac:dyDescent="0.3">
      <c r="R805" s="71"/>
    </row>
    <row r="806" spans="18:18" ht="15.75" customHeight="1" x14ac:dyDescent="0.3">
      <c r="R806" s="71"/>
    </row>
    <row r="807" spans="18:18" ht="15.75" customHeight="1" x14ac:dyDescent="0.3">
      <c r="R807" s="71"/>
    </row>
    <row r="808" spans="18:18" ht="15.75" customHeight="1" x14ac:dyDescent="0.3">
      <c r="R808" s="71"/>
    </row>
    <row r="809" spans="18:18" ht="15.75" customHeight="1" x14ac:dyDescent="0.3">
      <c r="R809" s="71"/>
    </row>
    <row r="810" spans="18:18" ht="15.75" customHeight="1" x14ac:dyDescent="0.3">
      <c r="R810" s="71"/>
    </row>
    <row r="811" spans="18:18" ht="15.75" customHeight="1" x14ac:dyDescent="0.3">
      <c r="R811" s="71"/>
    </row>
    <row r="812" spans="18:18" ht="15.75" customHeight="1" x14ac:dyDescent="0.3">
      <c r="R812" s="71"/>
    </row>
    <row r="813" spans="18:18" ht="15.75" customHeight="1" x14ac:dyDescent="0.3">
      <c r="R813" s="71"/>
    </row>
    <row r="814" spans="18:18" ht="15.75" customHeight="1" x14ac:dyDescent="0.3">
      <c r="R814" s="71"/>
    </row>
    <row r="815" spans="18:18" ht="15.75" customHeight="1" x14ac:dyDescent="0.3">
      <c r="R815" s="71"/>
    </row>
    <row r="816" spans="18:18" ht="15.75" customHeight="1" x14ac:dyDescent="0.3">
      <c r="R816" s="71"/>
    </row>
    <row r="817" spans="18:18" ht="15.75" customHeight="1" x14ac:dyDescent="0.3">
      <c r="R817" s="71"/>
    </row>
    <row r="818" spans="18:18" ht="15.75" customHeight="1" x14ac:dyDescent="0.3">
      <c r="R818" s="71"/>
    </row>
    <row r="819" spans="18:18" ht="15.75" customHeight="1" x14ac:dyDescent="0.3">
      <c r="R819" s="71"/>
    </row>
    <row r="820" spans="18:18" ht="15.75" customHeight="1" x14ac:dyDescent="0.3">
      <c r="R820" s="71"/>
    </row>
    <row r="821" spans="18:18" ht="15.75" customHeight="1" x14ac:dyDescent="0.3">
      <c r="R821" s="71"/>
    </row>
    <row r="822" spans="18:18" ht="15.75" customHeight="1" x14ac:dyDescent="0.3">
      <c r="R822" s="71"/>
    </row>
    <row r="823" spans="18:18" ht="15.75" customHeight="1" x14ac:dyDescent="0.3">
      <c r="R823" s="71"/>
    </row>
    <row r="824" spans="18:18" ht="15.75" customHeight="1" x14ac:dyDescent="0.3">
      <c r="R824" s="71"/>
    </row>
    <row r="825" spans="18:18" ht="15.75" customHeight="1" x14ac:dyDescent="0.3">
      <c r="R825" s="71"/>
    </row>
    <row r="826" spans="18:18" ht="15.75" customHeight="1" x14ac:dyDescent="0.3">
      <c r="R826" s="71"/>
    </row>
    <row r="827" spans="18:18" ht="15.75" customHeight="1" x14ac:dyDescent="0.3">
      <c r="R827" s="71"/>
    </row>
    <row r="828" spans="18:18" ht="15.75" customHeight="1" x14ac:dyDescent="0.3">
      <c r="R828" s="71"/>
    </row>
    <row r="829" spans="18:18" ht="15.75" customHeight="1" x14ac:dyDescent="0.3">
      <c r="R829" s="71"/>
    </row>
    <row r="830" spans="18:18" ht="15.75" customHeight="1" x14ac:dyDescent="0.3">
      <c r="R830" s="71"/>
    </row>
    <row r="831" spans="18:18" ht="15.75" customHeight="1" x14ac:dyDescent="0.3">
      <c r="R831" s="71"/>
    </row>
    <row r="832" spans="18:18" ht="15.75" customHeight="1" x14ac:dyDescent="0.3">
      <c r="R832" s="71"/>
    </row>
    <row r="833" spans="18:18" ht="15.75" customHeight="1" x14ac:dyDescent="0.3">
      <c r="R833" s="71"/>
    </row>
    <row r="834" spans="18:18" ht="15.75" customHeight="1" x14ac:dyDescent="0.3">
      <c r="R834" s="71"/>
    </row>
    <row r="835" spans="18:18" ht="15.75" customHeight="1" x14ac:dyDescent="0.3">
      <c r="R835" s="71"/>
    </row>
    <row r="836" spans="18:18" ht="15.75" customHeight="1" x14ac:dyDescent="0.3">
      <c r="R836" s="71"/>
    </row>
    <row r="837" spans="18:18" ht="15.75" customHeight="1" x14ac:dyDescent="0.3">
      <c r="R837" s="71"/>
    </row>
    <row r="838" spans="18:18" ht="15.75" customHeight="1" x14ac:dyDescent="0.3">
      <c r="R838" s="71"/>
    </row>
    <row r="839" spans="18:18" ht="15.75" customHeight="1" x14ac:dyDescent="0.3">
      <c r="R839" s="71"/>
    </row>
    <row r="840" spans="18:18" ht="15.75" customHeight="1" x14ac:dyDescent="0.3">
      <c r="R840" s="71"/>
    </row>
    <row r="841" spans="18:18" ht="15.75" customHeight="1" x14ac:dyDescent="0.3">
      <c r="R841" s="71"/>
    </row>
    <row r="842" spans="18:18" ht="15.75" customHeight="1" x14ac:dyDescent="0.3">
      <c r="R842" s="71"/>
    </row>
    <row r="843" spans="18:18" ht="15.75" customHeight="1" x14ac:dyDescent="0.3">
      <c r="R843" s="71"/>
    </row>
    <row r="844" spans="18:18" ht="15.75" customHeight="1" x14ac:dyDescent="0.3">
      <c r="R844" s="71"/>
    </row>
    <row r="845" spans="18:18" ht="15.75" customHeight="1" x14ac:dyDescent="0.3">
      <c r="R845" s="71"/>
    </row>
    <row r="846" spans="18:18" ht="15.75" customHeight="1" x14ac:dyDescent="0.3">
      <c r="R846" s="71"/>
    </row>
    <row r="847" spans="18:18" ht="15.75" customHeight="1" x14ac:dyDescent="0.3">
      <c r="R847" s="71"/>
    </row>
    <row r="848" spans="18:18" ht="15.75" customHeight="1" x14ac:dyDescent="0.3">
      <c r="R848" s="71"/>
    </row>
    <row r="849" spans="18:18" ht="15.75" customHeight="1" x14ac:dyDescent="0.3">
      <c r="R849" s="71"/>
    </row>
    <row r="850" spans="18:18" ht="15.75" customHeight="1" x14ac:dyDescent="0.3">
      <c r="R850" s="71"/>
    </row>
    <row r="851" spans="18:18" ht="15.75" customHeight="1" x14ac:dyDescent="0.3">
      <c r="R851" s="71"/>
    </row>
    <row r="852" spans="18:18" ht="15.75" customHeight="1" x14ac:dyDescent="0.3">
      <c r="R852" s="71"/>
    </row>
    <row r="853" spans="18:18" ht="15.75" customHeight="1" x14ac:dyDescent="0.3">
      <c r="R853" s="71"/>
    </row>
    <row r="854" spans="18:18" ht="15.75" customHeight="1" x14ac:dyDescent="0.3">
      <c r="R854" s="71"/>
    </row>
    <row r="855" spans="18:18" ht="15.75" customHeight="1" x14ac:dyDescent="0.3">
      <c r="R855" s="71"/>
    </row>
    <row r="856" spans="18:18" ht="15.75" customHeight="1" x14ac:dyDescent="0.3">
      <c r="R856" s="71"/>
    </row>
    <row r="857" spans="18:18" ht="15.75" customHeight="1" x14ac:dyDescent="0.3">
      <c r="R857" s="71"/>
    </row>
    <row r="858" spans="18:18" ht="15.75" customHeight="1" x14ac:dyDescent="0.3">
      <c r="R858" s="71"/>
    </row>
    <row r="859" spans="18:18" ht="15.75" customHeight="1" x14ac:dyDescent="0.3">
      <c r="R859" s="71"/>
    </row>
    <row r="860" spans="18:18" ht="15.75" customHeight="1" x14ac:dyDescent="0.3">
      <c r="R860" s="71"/>
    </row>
    <row r="861" spans="18:18" ht="15.75" customHeight="1" x14ac:dyDescent="0.3">
      <c r="R861" s="71"/>
    </row>
    <row r="862" spans="18:18" ht="15.75" customHeight="1" x14ac:dyDescent="0.3">
      <c r="R862" s="71"/>
    </row>
    <row r="863" spans="18:18" ht="15.75" customHeight="1" x14ac:dyDescent="0.3">
      <c r="R863" s="71"/>
    </row>
    <row r="864" spans="18:18" ht="15.75" customHeight="1" x14ac:dyDescent="0.3">
      <c r="R864" s="71"/>
    </row>
    <row r="865" spans="18:18" ht="15.75" customHeight="1" x14ac:dyDescent="0.3">
      <c r="R865" s="71"/>
    </row>
    <row r="866" spans="18:18" ht="15.75" customHeight="1" x14ac:dyDescent="0.3">
      <c r="R866" s="71"/>
    </row>
    <row r="867" spans="18:18" ht="15.75" customHeight="1" x14ac:dyDescent="0.3">
      <c r="R867" s="71"/>
    </row>
    <row r="868" spans="18:18" ht="15.75" customHeight="1" x14ac:dyDescent="0.3">
      <c r="R868" s="71"/>
    </row>
    <row r="869" spans="18:18" ht="15.75" customHeight="1" x14ac:dyDescent="0.3">
      <c r="R869" s="71"/>
    </row>
    <row r="870" spans="18:18" ht="15.75" customHeight="1" x14ac:dyDescent="0.3">
      <c r="R870" s="71"/>
    </row>
    <row r="871" spans="18:18" ht="15.75" customHeight="1" x14ac:dyDescent="0.3">
      <c r="R871" s="71"/>
    </row>
    <row r="872" spans="18:18" ht="15.75" customHeight="1" x14ac:dyDescent="0.3">
      <c r="R872" s="71"/>
    </row>
    <row r="873" spans="18:18" ht="15.75" customHeight="1" x14ac:dyDescent="0.3">
      <c r="R873" s="71"/>
    </row>
    <row r="874" spans="18:18" ht="15.75" customHeight="1" x14ac:dyDescent="0.3">
      <c r="R874" s="71"/>
    </row>
    <row r="875" spans="18:18" ht="15.75" customHeight="1" x14ac:dyDescent="0.3">
      <c r="R875" s="71"/>
    </row>
    <row r="876" spans="18:18" ht="15.75" customHeight="1" x14ac:dyDescent="0.3">
      <c r="R876" s="71"/>
    </row>
    <row r="877" spans="18:18" ht="15.75" customHeight="1" x14ac:dyDescent="0.3">
      <c r="R877" s="71"/>
    </row>
    <row r="878" spans="18:18" ht="15.75" customHeight="1" x14ac:dyDescent="0.3">
      <c r="R878" s="71"/>
    </row>
    <row r="879" spans="18:18" ht="15.75" customHeight="1" x14ac:dyDescent="0.3">
      <c r="R879" s="71"/>
    </row>
    <row r="880" spans="18:18" ht="15.75" customHeight="1" x14ac:dyDescent="0.3">
      <c r="R880" s="71"/>
    </row>
    <row r="881" spans="18:18" ht="15.75" customHeight="1" x14ac:dyDescent="0.3">
      <c r="R881" s="71"/>
    </row>
    <row r="882" spans="18:18" ht="15.75" customHeight="1" x14ac:dyDescent="0.3">
      <c r="R882" s="71"/>
    </row>
    <row r="883" spans="18:18" ht="15.75" customHeight="1" x14ac:dyDescent="0.3">
      <c r="R883" s="71"/>
    </row>
    <row r="884" spans="18:18" ht="15.75" customHeight="1" x14ac:dyDescent="0.3">
      <c r="R884" s="71"/>
    </row>
    <row r="885" spans="18:18" ht="15.75" customHeight="1" x14ac:dyDescent="0.3">
      <c r="R885" s="71"/>
    </row>
    <row r="886" spans="18:18" ht="15.75" customHeight="1" x14ac:dyDescent="0.3">
      <c r="R886" s="71"/>
    </row>
    <row r="887" spans="18:18" ht="15.75" customHeight="1" x14ac:dyDescent="0.3">
      <c r="R887" s="71"/>
    </row>
    <row r="888" spans="18:18" ht="15.75" customHeight="1" x14ac:dyDescent="0.3">
      <c r="R888" s="71"/>
    </row>
    <row r="889" spans="18:18" ht="15.75" customHeight="1" x14ac:dyDescent="0.3">
      <c r="R889" s="71"/>
    </row>
    <row r="890" spans="18:18" ht="15.75" customHeight="1" x14ac:dyDescent="0.3">
      <c r="R890" s="71"/>
    </row>
    <row r="891" spans="18:18" ht="15.75" customHeight="1" x14ac:dyDescent="0.3">
      <c r="R891" s="71"/>
    </row>
    <row r="892" spans="18:18" ht="15.75" customHeight="1" x14ac:dyDescent="0.3">
      <c r="R892" s="71"/>
    </row>
    <row r="893" spans="18:18" ht="15.75" customHeight="1" x14ac:dyDescent="0.3">
      <c r="R893" s="71"/>
    </row>
    <row r="894" spans="18:18" ht="15.75" customHeight="1" x14ac:dyDescent="0.3">
      <c r="R894" s="71"/>
    </row>
    <row r="895" spans="18:18" ht="15.75" customHeight="1" x14ac:dyDescent="0.3">
      <c r="R895" s="71"/>
    </row>
    <row r="896" spans="18:18" ht="15.75" customHeight="1" x14ac:dyDescent="0.3">
      <c r="R896" s="71"/>
    </row>
    <row r="897" spans="18:18" ht="15.75" customHeight="1" x14ac:dyDescent="0.3">
      <c r="R897" s="71"/>
    </row>
    <row r="898" spans="18:18" ht="15.75" customHeight="1" x14ac:dyDescent="0.3">
      <c r="R898" s="71"/>
    </row>
    <row r="899" spans="18:18" ht="15.75" customHeight="1" x14ac:dyDescent="0.3">
      <c r="R899" s="71"/>
    </row>
    <row r="900" spans="18:18" ht="15.75" customHeight="1" x14ac:dyDescent="0.3">
      <c r="R900" s="71"/>
    </row>
    <row r="901" spans="18:18" ht="15.75" customHeight="1" x14ac:dyDescent="0.3">
      <c r="R901" s="71"/>
    </row>
    <row r="902" spans="18:18" ht="15.75" customHeight="1" x14ac:dyDescent="0.3">
      <c r="R902" s="71"/>
    </row>
    <row r="903" spans="18:18" ht="15.75" customHeight="1" x14ac:dyDescent="0.3">
      <c r="R903" s="71"/>
    </row>
    <row r="904" spans="18:18" ht="15.75" customHeight="1" x14ac:dyDescent="0.3">
      <c r="R904" s="71"/>
    </row>
    <row r="905" spans="18:18" ht="15.75" customHeight="1" x14ac:dyDescent="0.3">
      <c r="R905" s="71"/>
    </row>
    <row r="906" spans="18:18" ht="15.75" customHeight="1" x14ac:dyDescent="0.3">
      <c r="R906" s="71"/>
    </row>
    <row r="907" spans="18:18" ht="15.75" customHeight="1" x14ac:dyDescent="0.3">
      <c r="R907" s="71"/>
    </row>
    <row r="908" spans="18:18" ht="15.75" customHeight="1" x14ac:dyDescent="0.3">
      <c r="R908" s="71"/>
    </row>
    <row r="909" spans="18:18" ht="15.75" customHeight="1" x14ac:dyDescent="0.3">
      <c r="R909" s="71"/>
    </row>
    <row r="910" spans="18:18" ht="15.75" customHeight="1" x14ac:dyDescent="0.3">
      <c r="R910" s="71"/>
    </row>
    <row r="911" spans="18:18" ht="15.75" customHeight="1" x14ac:dyDescent="0.3">
      <c r="R911" s="71"/>
    </row>
    <row r="912" spans="18:18" ht="15.75" customHeight="1" x14ac:dyDescent="0.3">
      <c r="R912" s="71"/>
    </row>
    <row r="913" spans="18:18" ht="15.75" customHeight="1" x14ac:dyDescent="0.3">
      <c r="R913" s="71"/>
    </row>
    <row r="914" spans="18:18" ht="15.75" customHeight="1" x14ac:dyDescent="0.3">
      <c r="R914" s="71"/>
    </row>
    <row r="915" spans="18:18" ht="15.75" customHeight="1" x14ac:dyDescent="0.3">
      <c r="R915" s="71"/>
    </row>
    <row r="916" spans="18:18" ht="15.75" customHeight="1" x14ac:dyDescent="0.3">
      <c r="R916" s="71"/>
    </row>
    <row r="917" spans="18:18" ht="15.75" customHeight="1" x14ac:dyDescent="0.3">
      <c r="R917" s="71"/>
    </row>
    <row r="918" spans="18:18" ht="15.75" customHeight="1" x14ac:dyDescent="0.3">
      <c r="R918" s="71"/>
    </row>
    <row r="919" spans="18:18" ht="15.75" customHeight="1" x14ac:dyDescent="0.3">
      <c r="R919" s="71"/>
    </row>
    <row r="920" spans="18:18" ht="15.75" customHeight="1" x14ac:dyDescent="0.3">
      <c r="R920" s="71"/>
    </row>
    <row r="921" spans="18:18" ht="15.75" customHeight="1" x14ac:dyDescent="0.3">
      <c r="R921" s="71"/>
    </row>
    <row r="922" spans="18:18" ht="15.75" customHeight="1" x14ac:dyDescent="0.3">
      <c r="R922" s="71"/>
    </row>
    <row r="923" spans="18:18" ht="15.75" customHeight="1" x14ac:dyDescent="0.3">
      <c r="R923" s="71"/>
    </row>
    <row r="924" spans="18:18" ht="15.75" customHeight="1" x14ac:dyDescent="0.3">
      <c r="R924" s="71"/>
    </row>
    <row r="925" spans="18:18" ht="15.75" customHeight="1" x14ac:dyDescent="0.3">
      <c r="R925" s="71"/>
    </row>
    <row r="926" spans="18:18" ht="15.75" customHeight="1" x14ac:dyDescent="0.3">
      <c r="R926" s="71"/>
    </row>
    <row r="927" spans="18:18" ht="15.75" customHeight="1" x14ac:dyDescent="0.3">
      <c r="R927" s="71"/>
    </row>
    <row r="928" spans="18:18" ht="15.75" customHeight="1" x14ac:dyDescent="0.3">
      <c r="R928" s="71"/>
    </row>
    <row r="929" spans="18:18" ht="15.75" customHeight="1" x14ac:dyDescent="0.3">
      <c r="R929" s="71"/>
    </row>
    <row r="930" spans="18:18" ht="15.75" customHeight="1" x14ac:dyDescent="0.3">
      <c r="R930" s="71"/>
    </row>
    <row r="931" spans="18:18" ht="15.75" customHeight="1" x14ac:dyDescent="0.3">
      <c r="R931" s="71"/>
    </row>
    <row r="932" spans="18:18" ht="15.75" customHeight="1" x14ac:dyDescent="0.3">
      <c r="R932" s="71"/>
    </row>
    <row r="933" spans="18:18" ht="15.75" customHeight="1" x14ac:dyDescent="0.3">
      <c r="R933" s="71"/>
    </row>
    <row r="934" spans="18:18" ht="15.75" customHeight="1" x14ac:dyDescent="0.3">
      <c r="R934" s="71"/>
    </row>
    <row r="935" spans="18:18" ht="15.75" customHeight="1" x14ac:dyDescent="0.3">
      <c r="R935" s="71"/>
    </row>
    <row r="936" spans="18:18" ht="15.75" customHeight="1" x14ac:dyDescent="0.3">
      <c r="R936" s="71"/>
    </row>
    <row r="937" spans="18:18" ht="15.75" customHeight="1" x14ac:dyDescent="0.3">
      <c r="R937" s="71"/>
    </row>
    <row r="938" spans="18:18" ht="15.75" customHeight="1" x14ac:dyDescent="0.3">
      <c r="R938" s="71"/>
    </row>
    <row r="939" spans="18:18" ht="15.75" customHeight="1" x14ac:dyDescent="0.3">
      <c r="R939" s="71"/>
    </row>
    <row r="940" spans="18:18" ht="15.75" customHeight="1" x14ac:dyDescent="0.3">
      <c r="R940" s="71"/>
    </row>
    <row r="941" spans="18:18" ht="15.75" customHeight="1" x14ac:dyDescent="0.3">
      <c r="R941" s="71"/>
    </row>
    <row r="942" spans="18:18" ht="15.75" customHeight="1" x14ac:dyDescent="0.3">
      <c r="R942" s="71"/>
    </row>
    <row r="943" spans="18:18" ht="15.75" customHeight="1" x14ac:dyDescent="0.3">
      <c r="R943" s="71"/>
    </row>
    <row r="944" spans="18:18" ht="15.75" customHeight="1" x14ac:dyDescent="0.3">
      <c r="R944" s="71"/>
    </row>
    <row r="945" spans="18:18" ht="15.75" customHeight="1" x14ac:dyDescent="0.3">
      <c r="R945" s="71"/>
    </row>
    <row r="946" spans="18:18" ht="15.75" customHeight="1" x14ac:dyDescent="0.3">
      <c r="R946" s="71"/>
    </row>
    <row r="947" spans="18:18" ht="15.75" customHeight="1" x14ac:dyDescent="0.3">
      <c r="R947" s="71"/>
    </row>
    <row r="948" spans="18:18" ht="15.75" customHeight="1" x14ac:dyDescent="0.3">
      <c r="R948" s="71"/>
    </row>
    <row r="949" spans="18:18" ht="15.75" customHeight="1" x14ac:dyDescent="0.3">
      <c r="R949" s="71"/>
    </row>
    <row r="950" spans="18:18" ht="15.75" customHeight="1" x14ac:dyDescent="0.3">
      <c r="R950" s="71"/>
    </row>
    <row r="951" spans="18:18" ht="15.75" customHeight="1" x14ac:dyDescent="0.3">
      <c r="R951" s="71"/>
    </row>
    <row r="952" spans="18:18" ht="15.75" customHeight="1" x14ac:dyDescent="0.3">
      <c r="R952" s="71"/>
    </row>
    <row r="953" spans="18:18" ht="15.75" customHeight="1" x14ac:dyDescent="0.3">
      <c r="R953" s="71"/>
    </row>
    <row r="954" spans="18:18" ht="15.75" customHeight="1" x14ac:dyDescent="0.3">
      <c r="R954" s="71"/>
    </row>
    <row r="955" spans="18:18" ht="15.75" customHeight="1" x14ac:dyDescent="0.3">
      <c r="R955" s="71"/>
    </row>
    <row r="956" spans="18:18" ht="15.75" customHeight="1" x14ac:dyDescent="0.3">
      <c r="R956" s="71"/>
    </row>
    <row r="957" spans="18:18" ht="15.75" customHeight="1" x14ac:dyDescent="0.3">
      <c r="R957" s="71"/>
    </row>
    <row r="958" spans="18:18" ht="15.75" customHeight="1" x14ac:dyDescent="0.3">
      <c r="R958" s="71"/>
    </row>
    <row r="959" spans="18:18" ht="15.75" customHeight="1" x14ac:dyDescent="0.3">
      <c r="R959" s="71"/>
    </row>
    <row r="960" spans="18:18" ht="15.75" customHeight="1" x14ac:dyDescent="0.3">
      <c r="R960" s="71"/>
    </row>
    <row r="961" spans="18:18" ht="15.75" customHeight="1" x14ac:dyDescent="0.3">
      <c r="R961" s="71"/>
    </row>
    <row r="962" spans="18:18" ht="15.75" customHeight="1" x14ac:dyDescent="0.3">
      <c r="R962" s="71"/>
    </row>
    <row r="963" spans="18:18" ht="15.75" customHeight="1" x14ac:dyDescent="0.3">
      <c r="R963" s="71"/>
    </row>
    <row r="964" spans="18:18" ht="15.75" customHeight="1" x14ac:dyDescent="0.3">
      <c r="R964" s="71"/>
    </row>
    <row r="965" spans="18:18" ht="15.75" customHeight="1" x14ac:dyDescent="0.3">
      <c r="R965" s="71"/>
    </row>
    <row r="966" spans="18:18" ht="15.75" customHeight="1" x14ac:dyDescent="0.3">
      <c r="R966" s="71"/>
    </row>
    <row r="967" spans="18:18" ht="15.75" customHeight="1" x14ac:dyDescent="0.3">
      <c r="R967" s="71"/>
    </row>
    <row r="968" spans="18:18" ht="15.75" customHeight="1" x14ac:dyDescent="0.3">
      <c r="R968" s="71"/>
    </row>
    <row r="969" spans="18:18" ht="15.75" customHeight="1" x14ac:dyDescent="0.3">
      <c r="R969" s="71"/>
    </row>
    <row r="970" spans="18:18" ht="15.75" customHeight="1" x14ac:dyDescent="0.3">
      <c r="R970" s="71"/>
    </row>
    <row r="971" spans="18:18" ht="15.75" customHeight="1" x14ac:dyDescent="0.3">
      <c r="R971" s="71"/>
    </row>
    <row r="972" spans="18:18" ht="15.75" customHeight="1" x14ac:dyDescent="0.3">
      <c r="R972" s="71"/>
    </row>
    <row r="973" spans="18:18" ht="15.75" customHeight="1" x14ac:dyDescent="0.3">
      <c r="R973" s="71"/>
    </row>
    <row r="974" spans="18:18" ht="15.75" customHeight="1" x14ac:dyDescent="0.3">
      <c r="R974" s="71"/>
    </row>
    <row r="975" spans="18:18" ht="15.75" customHeight="1" x14ac:dyDescent="0.3">
      <c r="R975" s="71"/>
    </row>
    <row r="976" spans="18:18" ht="15.75" customHeight="1" x14ac:dyDescent="0.3">
      <c r="R976" s="71"/>
    </row>
    <row r="977" spans="18:18" ht="15.75" customHeight="1" x14ac:dyDescent="0.3">
      <c r="R977" s="71"/>
    </row>
    <row r="978" spans="18:18" ht="15.75" customHeight="1" x14ac:dyDescent="0.3">
      <c r="R978" s="71"/>
    </row>
    <row r="979" spans="18:18" ht="15.75" customHeight="1" x14ac:dyDescent="0.3">
      <c r="R979" s="71"/>
    </row>
    <row r="980" spans="18:18" ht="15.75" customHeight="1" x14ac:dyDescent="0.3">
      <c r="R980" s="71"/>
    </row>
    <row r="981" spans="18:18" ht="15.75" customHeight="1" x14ac:dyDescent="0.3">
      <c r="R981" s="71"/>
    </row>
    <row r="982" spans="18:18" ht="15.75" customHeight="1" x14ac:dyDescent="0.3">
      <c r="R982" s="71"/>
    </row>
    <row r="983" spans="18:18" ht="15.75" customHeight="1" x14ac:dyDescent="0.3">
      <c r="R983" s="71"/>
    </row>
    <row r="984" spans="18:18" ht="15.75" customHeight="1" x14ac:dyDescent="0.3">
      <c r="R984" s="71"/>
    </row>
    <row r="985" spans="18:18" ht="15.75" customHeight="1" x14ac:dyDescent="0.3">
      <c r="R985" s="71"/>
    </row>
    <row r="986" spans="18:18" ht="15.75" customHeight="1" x14ac:dyDescent="0.3">
      <c r="R986" s="71"/>
    </row>
    <row r="987" spans="18:18" ht="15.75" customHeight="1" x14ac:dyDescent="0.3">
      <c r="R987" s="71"/>
    </row>
    <row r="988" spans="18:18" ht="15.75" customHeight="1" x14ac:dyDescent="0.3">
      <c r="R988" s="71"/>
    </row>
    <row r="989" spans="18:18" ht="15.75" customHeight="1" x14ac:dyDescent="0.3">
      <c r="R989" s="71"/>
    </row>
    <row r="990" spans="18:18" ht="15.75" customHeight="1" x14ac:dyDescent="0.3">
      <c r="R990" s="71"/>
    </row>
    <row r="991" spans="18:18" ht="15.75" customHeight="1" x14ac:dyDescent="0.3">
      <c r="R991" s="71"/>
    </row>
    <row r="992" spans="18:18" ht="15.75" customHeight="1" x14ac:dyDescent="0.3">
      <c r="R992" s="71"/>
    </row>
    <row r="993" spans="18:18" ht="15.75" customHeight="1" x14ac:dyDescent="0.3">
      <c r="R993" s="71"/>
    </row>
    <row r="994" spans="18:18" ht="15.75" customHeight="1" x14ac:dyDescent="0.3">
      <c r="R994" s="71"/>
    </row>
    <row r="995" spans="18:18" ht="15.75" customHeight="1" x14ac:dyDescent="0.3">
      <c r="R995" s="71"/>
    </row>
    <row r="996" spans="18:18" ht="15.75" customHeight="1" x14ac:dyDescent="0.3">
      <c r="R996" s="71"/>
    </row>
    <row r="997" spans="18:18" ht="15.75" customHeight="1" x14ac:dyDescent="0.3">
      <c r="R997" s="71"/>
    </row>
    <row r="998" spans="18:18" ht="15.75" customHeight="1" x14ac:dyDescent="0.3">
      <c r="R998" s="71"/>
    </row>
    <row r="999" spans="18:18" ht="15.75" customHeight="1" x14ac:dyDescent="0.3">
      <c r="R999" s="71"/>
    </row>
    <row r="1000" spans="18:18" ht="15.75" customHeight="1" x14ac:dyDescent="0.3">
      <c r="R1000" s="71"/>
    </row>
  </sheetData>
  <mergeCells count="7">
    <mergeCell ref="D27:E27"/>
    <mergeCell ref="C1:K1"/>
    <mergeCell ref="L1:R1"/>
    <mergeCell ref="D2:E2"/>
    <mergeCell ref="F2:I2"/>
    <mergeCell ref="J2:K2"/>
    <mergeCell ref="L2:R2"/>
  </mergeCells>
  <conditionalFormatting sqref="E24">
    <cfRule type="containsText" dxfId="9" priority="1" operator="containsText" text="falso">
      <formula>NOT(ISERROR(SEARCH(("falso"),(E24))))</formula>
    </cfRule>
  </conditionalFormatting>
  <conditionalFormatting sqref="J30">
    <cfRule type="cellIs" dxfId="8" priority="2" operator="lessThan">
      <formula>700000</formula>
    </cfRule>
  </conditionalFormatting>
  <conditionalFormatting sqref="J31">
    <cfRule type="cellIs" dxfId="7" priority="3" operator="lessThan">
      <formula>0.1</formula>
    </cfRule>
  </conditionalFormatting>
  <conditionalFormatting sqref="J32">
    <cfRule type="cellIs" dxfId="6" priority="4" operator="lessThan">
      <formula>0.05</formula>
    </cfRule>
  </conditionalFormatting>
  <conditionalFormatting sqref="M4:M24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M31">
    <cfRule type="cellIs" dxfId="3" priority="7" operator="lessThan">
      <formula>$J$31</formula>
    </cfRule>
    <cfRule type="cellIs" dxfId="2" priority="8" operator="lessThan">
      <formula>0.1</formula>
    </cfRule>
  </conditionalFormatting>
  <conditionalFormatting sqref="Q2:Q1000">
    <cfRule type="cellIs" dxfId="1" priority="9" operator="equal">
      <formula>"Recibido"</formula>
    </cfRule>
    <cfRule type="cellIs" dxfId="0" priority="10" operator="equal">
      <formula>"Pendiente"</formula>
    </cfRule>
  </conditionalFormatting>
  <pageMargins left="0.7" right="0.7" top="0.75" bottom="0.75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baseColWidth="10" defaultColWidth="14.44140625" defaultRowHeight="15" customHeight="1" x14ac:dyDescent="0.3"/>
  <cols>
    <col min="1" max="1" width="5.109375" customWidth="1"/>
    <col min="2" max="2" width="37.109375" customWidth="1"/>
    <col min="3" max="3" width="8.44140625" customWidth="1"/>
    <col min="4" max="5" width="13.44140625" customWidth="1"/>
    <col min="6" max="8" width="10.88671875" customWidth="1"/>
    <col min="9" max="9" width="14.5546875" customWidth="1"/>
    <col min="10" max="26" width="10.88671875" customWidth="1"/>
  </cols>
  <sheetData>
    <row r="1" spans="1:26" ht="12" customHeight="1" x14ac:dyDescent="0.3">
      <c r="A1" s="2"/>
      <c r="B1" s="2"/>
      <c r="C1" s="2"/>
      <c r="D1" s="53"/>
      <c r="E1" s="53"/>
      <c r="F1" s="109" t="s">
        <v>61</v>
      </c>
      <c r="G1" s="110"/>
      <c r="H1" s="110"/>
      <c r="I1" s="110"/>
      <c r="J1" s="110"/>
      <c r="K1" s="110"/>
      <c r="L1" s="110"/>
      <c r="M1" s="110"/>
      <c r="N1" s="110"/>
      <c r="O1" s="111"/>
      <c r="P1" s="72"/>
      <c r="Q1" s="72"/>
      <c r="R1" s="73"/>
      <c r="S1" s="2"/>
      <c r="T1" s="2"/>
      <c r="U1" s="2"/>
      <c r="V1" s="2"/>
      <c r="W1" s="2"/>
      <c r="X1" s="2"/>
      <c r="Y1" s="2"/>
      <c r="Z1" s="2"/>
    </row>
    <row r="2" spans="1:26" ht="24" customHeight="1" x14ac:dyDescent="0.3">
      <c r="A2" s="74" t="s">
        <v>5</v>
      </c>
      <c r="B2" s="75" t="s">
        <v>62</v>
      </c>
      <c r="C2" s="76" t="s">
        <v>63</v>
      </c>
      <c r="D2" s="77" t="s">
        <v>16</v>
      </c>
      <c r="E2" s="78" t="s">
        <v>17</v>
      </c>
      <c r="F2" s="79" t="s">
        <v>64</v>
      </c>
      <c r="G2" s="80" t="s">
        <v>65</v>
      </c>
      <c r="H2" s="80" t="s">
        <v>66</v>
      </c>
      <c r="I2" s="80" t="s">
        <v>67</v>
      </c>
      <c r="J2" s="80" t="s">
        <v>68</v>
      </c>
      <c r="K2" s="80" t="s">
        <v>69</v>
      </c>
      <c r="L2" s="80" t="s">
        <v>70</v>
      </c>
      <c r="M2" s="80" t="s">
        <v>71</v>
      </c>
      <c r="N2" s="80" t="s">
        <v>72</v>
      </c>
      <c r="O2" s="81" t="s">
        <v>73</v>
      </c>
      <c r="P2" s="82" t="s">
        <v>74</v>
      </c>
      <c r="Q2" s="82" t="s">
        <v>75</v>
      </c>
      <c r="R2" s="83" t="s">
        <v>23</v>
      </c>
      <c r="S2" s="84" t="s">
        <v>24</v>
      </c>
      <c r="T2" s="2"/>
      <c r="U2" s="2"/>
      <c r="V2" s="2"/>
      <c r="W2" s="2"/>
      <c r="X2" s="2"/>
      <c r="Y2" s="2"/>
      <c r="Z2" s="2"/>
    </row>
    <row r="3" spans="1:26" ht="12" customHeight="1" x14ac:dyDescent="0.3">
      <c r="A3" s="85">
        <f>Costeo!A4</f>
        <v>1</v>
      </c>
      <c r="B3" s="18" t="str">
        <f>Costeo!B4</f>
        <v>Producto 1</v>
      </c>
      <c r="C3" s="86">
        <f>Costeo!E4</f>
        <v>1</v>
      </c>
      <c r="D3" s="87">
        <f>Costeo!L4</f>
        <v>0</v>
      </c>
      <c r="E3" s="88">
        <f>Costeo!M4</f>
        <v>0</v>
      </c>
      <c r="F3" s="89"/>
      <c r="G3" s="18"/>
      <c r="H3" s="18"/>
      <c r="I3" s="18"/>
      <c r="J3" s="18"/>
      <c r="K3" s="18"/>
      <c r="L3" s="18"/>
      <c r="M3" s="18"/>
      <c r="N3" s="2"/>
      <c r="O3" s="90"/>
      <c r="P3" s="2"/>
      <c r="Q3" s="2"/>
      <c r="R3" s="91">
        <f>Costeo!S4</f>
        <v>0</v>
      </c>
      <c r="S3" s="2">
        <f>Costeo!T4</f>
        <v>0</v>
      </c>
      <c r="T3" s="2"/>
      <c r="U3" s="2"/>
      <c r="V3" s="2"/>
      <c r="W3" s="2"/>
      <c r="X3" s="2"/>
      <c r="Y3" s="2"/>
      <c r="Z3" s="2"/>
    </row>
    <row r="4" spans="1:26" ht="12" customHeight="1" x14ac:dyDescent="0.3">
      <c r="A4" s="85">
        <f>Costeo!A5</f>
        <v>2</v>
      </c>
      <c r="B4" s="18" t="str">
        <f>Costeo!B5</f>
        <v>Producto 2</v>
      </c>
      <c r="C4" s="86">
        <f>Costeo!E5</f>
        <v>1</v>
      </c>
      <c r="D4" s="87">
        <f>Costeo!L5</f>
        <v>0</v>
      </c>
      <c r="E4" s="88">
        <f>Costeo!M5</f>
        <v>0</v>
      </c>
      <c r="F4" s="89"/>
      <c r="G4" s="18"/>
      <c r="H4" s="18"/>
      <c r="I4" s="18"/>
      <c r="J4" s="18"/>
      <c r="K4" s="18"/>
      <c r="L4" s="18"/>
      <c r="M4" s="18"/>
      <c r="N4" s="18"/>
      <c r="O4" s="90"/>
      <c r="P4" s="2"/>
      <c r="Q4" s="2"/>
      <c r="R4" s="91">
        <f>Costeo!S5</f>
        <v>0</v>
      </c>
      <c r="S4" s="2">
        <f>Costeo!T5</f>
        <v>0</v>
      </c>
      <c r="T4" s="2"/>
      <c r="U4" s="2"/>
      <c r="V4" s="2"/>
      <c r="W4" s="2"/>
      <c r="X4" s="2"/>
      <c r="Y4" s="2"/>
      <c r="Z4" s="2"/>
    </row>
    <row r="5" spans="1:26" ht="12" customHeight="1" x14ac:dyDescent="0.3">
      <c r="A5" s="85">
        <f>Costeo!A6</f>
        <v>3</v>
      </c>
      <c r="B5" s="18" t="str">
        <f>Costeo!B6</f>
        <v>Producto 3</v>
      </c>
      <c r="C5" s="86">
        <f>Costeo!E6</f>
        <v>1</v>
      </c>
      <c r="D5" s="87">
        <f>Costeo!L6</f>
        <v>0</v>
      </c>
      <c r="E5" s="88">
        <f>Costeo!M6</f>
        <v>0</v>
      </c>
      <c r="F5" s="89"/>
      <c r="G5" s="18"/>
      <c r="H5" s="18"/>
      <c r="I5" s="18"/>
      <c r="J5" s="18"/>
      <c r="K5" s="18"/>
      <c r="L5" s="18"/>
      <c r="M5" s="18"/>
      <c r="N5" s="18"/>
      <c r="O5" s="90"/>
      <c r="P5" s="2"/>
      <c r="Q5" s="2"/>
      <c r="R5" s="91">
        <f>Costeo!S6</f>
        <v>0</v>
      </c>
      <c r="S5" s="2">
        <f>Costeo!T6</f>
        <v>0</v>
      </c>
      <c r="T5" s="2"/>
      <c r="U5" s="2"/>
      <c r="V5" s="2"/>
      <c r="W5" s="2"/>
      <c r="X5" s="2"/>
      <c r="Y5" s="2"/>
      <c r="Z5" s="2"/>
    </row>
    <row r="6" spans="1:26" ht="12" customHeight="1" x14ac:dyDescent="0.3">
      <c r="A6" s="85">
        <f>Costeo!A7</f>
        <v>4</v>
      </c>
      <c r="B6" s="18" t="str">
        <f>Costeo!B7</f>
        <v>Producto 4</v>
      </c>
      <c r="C6" s="86">
        <f>Costeo!E7</f>
        <v>1</v>
      </c>
      <c r="D6" s="87">
        <f>Costeo!L7</f>
        <v>0</v>
      </c>
      <c r="E6" s="88">
        <f>Costeo!M7</f>
        <v>0</v>
      </c>
      <c r="F6" s="92"/>
      <c r="G6" s="18"/>
      <c r="H6" s="18"/>
      <c r="I6" s="18"/>
      <c r="J6" s="18"/>
      <c r="K6" s="18"/>
      <c r="L6" s="18"/>
      <c r="M6" s="18"/>
      <c r="N6" s="18"/>
      <c r="O6" s="90"/>
      <c r="P6" s="2"/>
      <c r="Q6" s="2"/>
      <c r="R6" s="91">
        <f>Costeo!S7</f>
        <v>0</v>
      </c>
      <c r="S6" s="2">
        <f>Costeo!T7</f>
        <v>0</v>
      </c>
      <c r="T6" s="2"/>
      <c r="U6" s="2"/>
      <c r="V6" s="2"/>
      <c r="W6" s="2"/>
      <c r="X6" s="2"/>
      <c r="Y6" s="2"/>
      <c r="Z6" s="2"/>
    </row>
    <row r="7" spans="1:26" ht="12" customHeight="1" x14ac:dyDescent="0.3">
      <c r="A7" s="85">
        <f>Costeo!A8</f>
        <v>5</v>
      </c>
      <c r="B7" s="18" t="str">
        <f>Costeo!B8</f>
        <v>Producto 5</v>
      </c>
      <c r="C7" s="86">
        <f>Costeo!E8</f>
        <v>1</v>
      </c>
      <c r="D7" s="87">
        <f>Costeo!L8</f>
        <v>0</v>
      </c>
      <c r="E7" s="88">
        <f>Costeo!M8</f>
        <v>0</v>
      </c>
      <c r="F7" s="92"/>
      <c r="G7" s="18"/>
      <c r="H7" s="18"/>
      <c r="I7" s="18"/>
      <c r="J7" s="18"/>
      <c r="K7" s="18"/>
      <c r="L7" s="18"/>
      <c r="M7" s="18"/>
      <c r="N7" s="18"/>
      <c r="O7" s="90"/>
      <c r="P7" s="2"/>
      <c r="Q7" s="2"/>
      <c r="R7" s="91">
        <f>Costeo!S8</f>
        <v>0</v>
      </c>
      <c r="S7" s="2">
        <f>Costeo!T8</f>
        <v>0</v>
      </c>
      <c r="T7" s="2"/>
      <c r="U7" s="2"/>
      <c r="V7" s="2"/>
      <c r="W7" s="2"/>
      <c r="X7" s="2"/>
      <c r="Y7" s="2"/>
      <c r="Z7" s="2"/>
    </row>
    <row r="8" spans="1:26" ht="12" customHeight="1" x14ac:dyDescent="0.3">
      <c r="A8" s="85">
        <f>Costeo!A9</f>
        <v>6</v>
      </c>
      <c r="B8" s="18" t="str">
        <f>Costeo!B9</f>
        <v>Producto 6</v>
      </c>
      <c r="C8" s="86">
        <f>Costeo!E9</f>
        <v>1</v>
      </c>
      <c r="D8" s="87">
        <f>Costeo!L9</f>
        <v>0</v>
      </c>
      <c r="E8" s="88">
        <f>Costeo!M9</f>
        <v>0</v>
      </c>
      <c r="F8" s="92"/>
      <c r="G8" s="18"/>
      <c r="H8" s="18"/>
      <c r="I8" s="18"/>
      <c r="J8" s="18"/>
      <c r="K8" s="18"/>
      <c r="L8" s="18"/>
      <c r="M8" s="18"/>
      <c r="N8" s="18"/>
      <c r="O8" s="90"/>
      <c r="P8" s="2"/>
      <c r="Q8" s="2"/>
      <c r="R8" s="91">
        <f>Costeo!S9</f>
        <v>0</v>
      </c>
      <c r="S8" s="2">
        <f>Costeo!T9</f>
        <v>0</v>
      </c>
      <c r="T8" s="2"/>
      <c r="U8" s="2"/>
      <c r="V8" s="2"/>
      <c r="W8" s="2"/>
      <c r="X8" s="2"/>
      <c r="Y8" s="2"/>
      <c r="Z8" s="2"/>
    </row>
    <row r="9" spans="1:26" ht="12" customHeight="1" x14ac:dyDescent="0.3">
      <c r="A9" s="85">
        <f>Costeo!A10</f>
        <v>7</v>
      </c>
      <c r="B9" s="18" t="str">
        <f>Costeo!B10</f>
        <v>Producto 7</v>
      </c>
      <c r="C9" s="86">
        <f>Costeo!E10</f>
        <v>1</v>
      </c>
      <c r="D9" s="87">
        <f>Costeo!L10</f>
        <v>0</v>
      </c>
      <c r="E9" s="88">
        <f>Costeo!M10</f>
        <v>0</v>
      </c>
      <c r="F9" s="92"/>
      <c r="G9" s="18"/>
      <c r="H9" s="18"/>
      <c r="I9" s="18"/>
      <c r="J9" s="18"/>
      <c r="K9" s="18"/>
      <c r="L9" s="18"/>
      <c r="M9" s="18"/>
      <c r="N9" s="18"/>
      <c r="O9" s="90"/>
      <c r="P9" s="2"/>
      <c r="Q9" s="2"/>
      <c r="R9" s="91">
        <f>Costeo!S10</f>
        <v>0</v>
      </c>
      <c r="S9" s="2">
        <f>Costeo!T10</f>
        <v>0</v>
      </c>
      <c r="T9" s="2"/>
      <c r="U9" s="2"/>
      <c r="V9" s="2"/>
      <c r="W9" s="2"/>
      <c r="X9" s="2"/>
      <c r="Y9" s="2"/>
      <c r="Z9" s="2"/>
    </row>
    <row r="10" spans="1:26" ht="12" customHeight="1" x14ac:dyDescent="0.3">
      <c r="A10" s="85">
        <f>Costeo!A11</f>
        <v>8</v>
      </c>
      <c r="B10" s="18" t="str">
        <f>Costeo!B11</f>
        <v>Producto 8</v>
      </c>
      <c r="C10" s="86">
        <f>Costeo!E11</f>
        <v>1</v>
      </c>
      <c r="D10" s="87">
        <f>Costeo!L11</f>
        <v>0</v>
      </c>
      <c r="E10" s="88">
        <f>Costeo!M11</f>
        <v>0</v>
      </c>
      <c r="F10" s="92"/>
      <c r="G10" s="18"/>
      <c r="H10" s="18"/>
      <c r="I10" s="18"/>
      <c r="J10" s="18"/>
      <c r="K10" s="18"/>
      <c r="L10" s="18"/>
      <c r="M10" s="18"/>
      <c r="N10" s="18"/>
      <c r="O10" s="90"/>
      <c r="P10" s="2"/>
      <c r="Q10" s="2"/>
      <c r="R10" s="91">
        <f>Costeo!S11</f>
        <v>0</v>
      </c>
      <c r="S10" s="2">
        <f>Costeo!T11</f>
        <v>0</v>
      </c>
      <c r="T10" s="2"/>
      <c r="U10" s="2"/>
      <c r="V10" s="2"/>
      <c r="W10" s="2"/>
      <c r="X10" s="2"/>
      <c r="Y10" s="2"/>
      <c r="Z10" s="2"/>
    </row>
    <row r="11" spans="1:26" ht="12" customHeight="1" x14ac:dyDescent="0.3">
      <c r="A11" s="85">
        <f>Costeo!A12</f>
        <v>9</v>
      </c>
      <c r="B11" s="18" t="str">
        <f>Costeo!B12</f>
        <v>Producto 9</v>
      </c>
      <c r="C11" s="86">
        <f>Costeo!E12</f>
        <v>1</v>
      </c>
      <c r="D11" s="87">
        <f>Costeo!L12</f>
        <v>0</v>
      </c>
      <c r="E11" s="88">
        <f>Costeo!M12</f>
        <v>0</v>
      </c>
      <c r="F11" s="92"/>
      <c r="G11" s="18"/>
      <c r="H11" s="18"/>
      <c r="I11" s="18"/>
      <c r="J11" s="18"/>
      <c r="K11" s="18"/>
      <c r="L11" s="18"/>
      <c r="M11" s="18"/>
      <c r="N11" s="18"/>
      <c r="O11" s="90"/>
      <c r="P11" s="2"/>
      <c r="Q11" s="2"/>
      <c r="R11" s="73">
        <f>Costeo!S12</f>
        <v>0</v>
      </c>
      <c r="S11" s="2">
        <f>Costeo!T12</f>
        <v>0</v>
      </c>
      <c r="T11" s="2"/>
      <c r="U11" s="2"/>
      <c r="V11" s="2"/>
      <c r="W11" s="2"/>
      <c r="X11" s="2"/>
      <c r="Y11" s="2"/>
      <c r="Z11" s="2"/>
    </row>
    <row r="12" spans="1:26" ht="12" customHeight="1" x14ac:dyDescent="0.3">
      <c r="A12" s="85">
        <f>Costeo!A13</f>
        <v>10</v>
      </c>
      <c r="B12" s="18" t="str">
        <f>Costeo!B13</f>
        <v>Producto 10</v>
      </c>
      <c r="C12" s="86">
        <f>Costeo!E13</f>
        <v>1</v>
      </c>
      <c r="D12" s="87">
        <f>Costeo!L13</f>
        <v>0</v>
      </c>
      <c r="E12" s="88">
        <f>Costeo!M13</f>
        <v>0</v>
      </c>
      <c r="F12" s="92"/>
      <c r="G12" s="18"/>
      <c r="H12" s="18"/>
      <c r="I12" s="18"/>
      <c r="J12" s="18"/>
      <c r="K12" s="18"/>
      <c r="L12" s="18"/>
      <c r="M12" s="18"/>
      <c r="N12" s="18"/>
      <c r="O12" s="90"/>
      <c r="P12" s="2"/>
      <c r="Q12" s="2"/>
      <c r="R12" s="91">
        <f>Costeo!S13</f>
        <v>0</v>
      </c>
      <c r="S12" s="2">
        <f>Costeo!T13</f>
        <v>0</v>
      </c>
      <c r="T12" s="2"/>
      <c r="U12" s="2"/>
      <c r="V12" s="2"/>
      <c r="W12" s="2"/>
      <c r="X12" s="2"/>
      <c r="Y12" s="2"/>
      <c r="Z12" s="2"/>
    </row>
    <row r="13" spans="1:26" ht="12" customHeight="1" x14ac:dyDescent="0.3">
      <c r="A13" s="85">
        <f>Costeo!A14</f>
        <v>11</v>
      </c>
      <c r="B13" s="18" t="str">
        <f>Costeo!B14</f>
        <v>Producto 11</v>
      </c>
      <c r="C13" s="86">
        <f>Costeo!E14</f>
        <v>1</v>
      </c>
      <c r="D13" s="87">
        <f>Costeo!L14</f>
        <v>0</v>
      </c>
      <c r="E13" s="88">
        <f>Costeo!M14</f>
        <v>0</v>
      </c>
      <c r="F13" s="92"/>
      <c r="G13" s="18"/>
      <c r="H13" s="18"/>
      <c r="I13" s="18"/>
      <c r="J13" s="18"/>
      <c r="K13" s="18"/>
      <c r="L13" s="18"/>
      <c r="M13" s="18"/>
      <c r="N13" s="18"/>
      <c r="O13" s="90"/>
      <c r="P13" s="2"/>
      <c r="Q13" s="2"/>
      <c r="R13" s="91">
        <f>Costeo!S14</f>
        <v>0</v>
      </c>
      <c r="S13" s="2">
        <f>Costeo!T14</f>
        <v>0</v>
      </c>
      <c r="T13" s="2"/>
      <c r="U13" s="2"/>
      <c r="V13" s="2"/>
      <c r="W13" s="2"/>
      <c r="X13" s="2"/>
      <c r="Y13" s="2"/>
      <c r="Z13" s="2"/>
    </row>
    <row r="14" spans="1:26" ht="12" customHeight="1" x14ac:dyDescent="0.3">
      <c r="A14" s="85">
        <f>Costeo!A15</f>
        <v>12</v>
      </c>
      <c r="B14" s="18" t="str">
        <f>Costeo!B15</f>
        <v>Producto 12</v>
      </c>
      <c r="C14" s="86">
        <f>Costeo!E15</f>
        <v>1</v>
      </c>
      <c r="D14" s="87">
        <f>Costeo!L15</f>
        <v>0</v>
      </c>
      <c r="E14" s="88">
        <f>Costeo!M15</f>
        <v>0</v>
      </c>
      <c r="F14" s="92"/>
      <c r="G14" s="18"/>
      <c r="H14" s="18"/>
      <c r="I14" s="18"/>
      <c r="J14" s="18"/>
      <c r="K14" s="18"/>
      <c r="L14" s="18"/>
      <c r="M14" s="18"/>
      <c r="N14" s="18"/>
      <c r="O14" s="90"/>
      <c r="P14" s="2"/>
      <c r="Q14" s="2"/>
      <c r="R14" s="73">
        <f>Costeo!S15</f>
        <v>0</v>
      </c>
      <c r="S14" s="2">
        <f>Costeo!T15</f>
        <v>0</v>
      </c>
      <c r="T14" s="2"/>
      <c r="U14" s="2"/>
      <c r="V14" s="2"/>
      <c r="W14" s="2"/>
      <c r="X14" s="2"/>
      <c r="Y14" s="2"/>
      <c r="Z14" s="2"/>
    </row>
    <row r="15" spans="1:26" ht="12" customHeight="1" x14ac:dyDescent="0.3">
      <c r="A15" s="85">
        <f>Costeo!A16</f>
        <v>13</v>
      </c>
      <c r="B15" s="18" t="str">
        <f>Costeo!B16</f>
        <v>Producto 13</v>
      </c>
      <c r="C15" s="86">
        <f>Costeo!E16</f>
        <v>1</v>
      </c>
      <c r="D15" s="87">
        <f>Costeo!L16</f>
        <v>0</v>
      </c>
      <c r="E15" s="88">
        <f>Costeo!M16</f>
        <v>0</v>
      </c>
      <c r="F15" s="92"/>
      <c r="G15" s="18"/>
      <c r="H15" s="18"/>
      <c r="I15" s="18"/>
      <c r="J15" s="18"/>
      <c r="K15" s="18"/>
      <c r="L15" s="18"/>
      <c r="M15" s="18"/>
      <c r="N15" s="18"/>
      <c r="O15" s="90"/>
      <c r="P15" s="2"/>
      <c r="Q15" s="2"/>
      <c r="R15" s="91">
        <f>Costeo!S16</f>
        <v>0</v>
      </c>
      <c r="S15" s="2">
        <f>Costeo!T16</f>
        <v>0</v>
      </c>
      <c r="T15" s="2"/>
      <c r="U15" s="2"/>
      <c r="V15" s="2"/>
      <c r="W15" s="2"/>
      <c r="X15" s="2"/>
      <c r="Y15" s="2"/>
      <c r="Z15" s="2"/>
    </row>
    <row r="16" spans="1:26" ht="12" customHeight="1" x14ac:dyDescent="0.3">
      <c r="A16" s="85">
        <f>Costeo!A17</f>
        <v>14</v>
      </c>
      <c r="B16" s="18" t="str">
        <f>Costeo!B17</f>
        <v>Producto 14</v>
      </c>
      <c r="C16" s="86">
        <f>Costeo!E17</f>
        <v>1</v>
      </c>
      <c r="D16" s="87">
        <f>Costeo!L17</f>
        <v>0</v>
      </c>
      <c r="E16" s="88">
        <f>Costeo!M17</f>
        <v>0</v>
      </c>
      <c r="F16" s="92"/>
      <c r="G16" s="18"/>
      <c r="H16" s="18"/>
      <c r="I16" s="18"/>
      <c r="J16" s="18"/>
      <c r="K16" s="18"/>
      <c r="L16" s="18"/>
      <c r="M16" s="18"/>
      <c r="N16" s="18"/>
      <c r="O16" s="90"/>
      <c r="P16" s="2"/>
      <c r="Q16" s="2"/>
      <c r="R16" s="91">
        <f>Costeo!S17</f>
        <v>0</v>
      </c>
      <c r="S16" s="2">
        <f>Costeo!T17</f>
        <v>0</v>
      </c>
      <c r="T16" s="2"/>
      <c r="U16" s="2"/>
      <c r="V16" s="2"/>
      <c r="W16" s="2"/>
      <c r="X16" s="2"/>
      <c r="Y16" s="2"/>
      <c r="Z16" s="2"/>
    </row>
    <row r="17" spans="1:26" ht="12" customHeight="1" x14ac:dyDescent="0.3">
      <c r="A17" s="85">
        <f>Costeo!A18</f>
        <v>15</v>
      </c>
      <c r="B17" s="18" t="str">
        <f>Costeo!B18</f>
        <v>Producto 15</v>
      </c>
      <c r="C17" s="86">
        <f>Costeo!E18</f>
        <v>1</v>
      </c>
      <c r="D17" s="87">
        <f>Costeo!L18</f>
        <v>0</v>
      </c>
      <c r="E17" s="88">
        <f>Costeo!M18</f>
        <v>0</v>
      </c>
      <c r="F17" s="92"/>
      <c r="G17" s="18"/>
      <c r="H17" s="18"/>
      <c r="I17" s="18"/>
      <c r="J17" s="18"/>
      <c r="K17" s="18"/>
      <c r="L17" s="18"/>
      <c r="M17" s="18"/>
      <c r="N17" s="18"/>
      <c r="O17" s="90"/>
      <c r="P17" s="2"/>
      <c r="Q17" s="2"/>
      <c r="R17" s="91">
        <f>Costeo!S18</f>
        <v>0</v>
      </c>
      <c r="S17" s="2">
        <f>Costeo!T18</f>
        <v>0</v>
      </c>
      <c r="T17" s="2"/>
      <c r="U17" s="2"/>
      <c r="V17" s="2"/>
      <c r="W17" s="2"/>
      <c r="X17" s="2"/>
      <c r="Y17" s="2"/>
      <c r="Z17" s="2"/>
    </row>
    <row r="18" spans="1:26" ht="12" customHeight="1" x14ac:dyDescent="0.3">
      <c r="A18" s="85">
        <f>Costeo!A19</f>
        <v>16</v>
      </c>
      <c r="B18" s="18" t="str">
        <f>Costeo!B19</f>
        <v>Producto 16</v>
      </c>
      <c r="C18" s="86">
        <f>Costeo!E19</f>
        <v>1</v>
      </c>
      <c r="D18" s="87">
        <f>Costeo!L19</f>
        <v>0</v>
      </c>
      <c r="E18" s="88">
        <f>Costeo!M19</f>
        <v>0</v>
      </c>
      <c r="F18" s="92"/>
      <c r="G18" s="18"/>
      <c r="H18" s="18"/>
      <c r="I18" s="18"/>
      <c r="J18" s="18"/>
      <c r="K18" s="18"/>
      <c r="L18" s="18"/>
      <c r="M18" s="18"/>
      <c r="N18" s="18"/>
      <c r="O18" s="90"/>
      <c r="P18" s="2"/>
      <c r="Q18" s="2"/>
      <c r="R18" s="91">
        <f>Costeo!S19</f>
        <v>0</v>
      </c>
      <c r="S18" s="2">
        <f>Costeo!T19</f>
        <v>0</v>
      </c>
      <c r="T18" s="2"/>
      <c r="U18" s="2"/>
      <c r="V18" s="2"/>
      <c r="W18" s="2"/>
      <c r="X18" s="2"/>
      <c r="Y18" s="2"/>
      <c r="Z18" s="2"/>
    </row>
    <row r="19" spans="1:26" ht="12" customHeight="1" x14ac:dyDescent="0.3">
      <c r="A19" s="85">
        <f>Costeo!A20</f>
        <v>17</v>
      </c>
      <c r="B19" s="18" t="str">
        <f>Costeo!B20</f>
        <v>Producto 17</v>
      </c>
      <c r="C19" s="86">
        <f>Costeo!E20</f>
        <v>1</v>
      </c>
      <c r="D19" s="87">
        <f>Costeo!L20</f>
        <v>0</v>
      </c>
      <c r="E19" s="88">
        <f>Costeo!M20</f>
        <v>0</v>
      </c>
      <c r="F19" s="92"/>
      <c r="G19" s="18"/>
      <c r="H19" s="18"/>
      <c r="I19" s="18"/>
      <c r="J19" s="18"/>
      <c r="K19" s="18"/>
      <c r="L19" s="18"/>
      <c r="M19" s="18"/>
      <c r="N19" s="18"/>
      <c r="O19" s="90"/>
      <c r="P19" s="2"/>
      <c r="Q19" s="2"/>
      <c r="R19" s="91">
        <f>Costeo!S20</f>
        <v>0</v>
      </c>
      <c r="S19" s="2">
        <f>Costeo!T20</f>
        <v>0</v>
      </c>
      <c r="T19" s="2"/>
      <c r="U19" s="2"/>
      <c r="V19" s="2"/>
      <c r="W19" s="2"/>
      <c r="X19" s="2"/>
      <c r="Y19" s="2"/>
      <c r="Z19" s="2"/>
    </row>
    <row r="20" spans="1:26" ht="12" customHeight="1" x14ac:dyDescent="0.3">
      <c r="A20" s="85">
        <f>Costeo!A21</f>
        <v>18</v>
      </c>
      <c r="B20" s="18" t="str">
        <f>Costeo!B21</f>
        <v>Producto 18</v>
      </c>
      <c r="C20" s="86">
        <f>Costeo!E21</f>
        <v>1</v>
      </c>
      <c r="D20" s="87">
        <f>Costeo!L21</f>
        <v>0</v>
      </c>
      <c r="E20" s="88">
        <f>Costeo!M21</f>
        <v>0</v>
      </c>
      <c r="F20" s="92"/>
      <c r="G20" s="18"/>
      <c r="H20" s="18"/>
      <c r="I20" s="18"/>
      <c r="J20" s="18"/>
      <c r="K20" s="18"/>
      <c r="L20" s="18"/>
      <c r="M20" s="18"/>
      <c r="N20" s="18"/>
      <c r="O20" s="90"/>
      <c r="P20" s="2"/>
      <c r="Q20" s="2"/>
      <c r="R20" s="91">
        <f>Costeo!S21</f>
        <v>0</v>
      </c>
      <c r="S20" s="2">
        <f>Costeo!T21</f>
        <v>0</v>
      </c>
      <c r="T20" s="2"/>
      <c r="U20" s="2"/>
      <c r="V20" s="2"/>
      <c r="W20" s="2"/>
      <c r="X20" s="2"/>
      <c r="Y20" s="2"/>
      <c r="Z20" s="2"/>
    </row>
    <row r="21" spans="1:26" ht="12" customHeight="1" x14ac:dyDescent="0.3">
      <c r="A21" s="85">
        <f>Costeo!A22</f>
        <v>19</v>
      </c>
      <c r="B21" s="18" t="str">
        <f>Costeo!B22</f>
        <v>Producto 19</v>
      </c>
      <c r="C21" s="86">
        <f>Costeo!E22</f>
        <v>1</v>
      </c>
      <c r="D21" s="87">
        <f>Costeo!L22</f>
        <v>0</v>
      </c>
      <c r="E21" s="88">
        <f>Costeo!M22</f>
        <v>0</v>
      </c>
      <c r="F21" s="92"/>
      <c r="G21" s="18"/>
      <c r="H21" s="18"/>
      <c r="I21" s="18"/>
      <c r="J21" s="18"/>
      <c r="K21" s="18"/>
      <c r="L21" s="18"/>
      <c r="M21" s="18"/>
      <c r="N21" s="18"/>
      <c r="O21" s="90"/>
      <c r="P21" s="2"/>
      <c r="Q21" s="2"/>
      <c r="R21" s="91">
        <f>Costeo!S22</f>
        <v>0</v>
      </c>
      <c r="S21" s="2">
        <f>Costeo!T22</f>
        <v>0</v>
      </c>
      <c r="T21" s="2"/>
      <c r="U21" s="2"/>
      <c r="V21" s="2"/>
      <c r="W21" s="2"/>
      <c r="X21" s="2"/>
      <c r="Y21" s="2"/>
      <c r="Z21" s="2"/>
    </row>
    <row r="22" spans="1:26" ht="12" customHeight="1" x14ac:dyDescent="0.3">
      <c r="A22" s="85">
        <f>Costeo!A23</f>
        <v>20</v>
      </c>
      <c r="B22" s="18" t="str">
        <f>Costeo!B23</f>
        <v>Producto 20</v>
      </c>
      <c r="C22" s="86">
        <f>Costeo!E23</f>
        <v>1</v>
      </c>
      <c r="D22" s="87">
        <f>Costeo!L23</f>
        <v>0</v>
      </c>
      <c r="E22" s="88">
        <f>Costeo!M23</f>
        <v>0</v>
      </c>
      <c r="F22" s="92"/>
      <c r="G22" s="18"/>
      <c r="H22" s="18"/>
      <c r="I22" s="18"/>
      <c r="J22" s="18"/>
      <c r="K22" s="18"/>
      <c r="L22" s="18"/>
      <c r="M22" s="18"/>
      <c r="N22" s="18"/>
      <c r="O22" s="90"/>
      <c r="P22" s="2"/>
      <c r="Q22" s="2"/>
      <c r="R22" s="91">
        <f>Costeo!S23</f>
        <v>0</v>
      </c>
      <c r="S22" s="2">
        <f>Costeo!T23</f>
        <v>0</v>
      </c>
      <c r="T22" s="2"/>
      <c r="U22" s="2"/>
      <c r="V22" s="2"/>
      <c r="W22" s="2"/>
      <c r="X22" s="2"/>
      <c r="Y22" s="2"/>
      <c r="Z22" s="2"/>
    </row>
    <row r="23" spans="1:26" ht="12" customHeight="1" x14ac:dyDescent="0.3">
      <c r="A23" s="2"/>
      <c r="B23" s="2"/>
      <c r="C23" s="2"/>
      <c r="D23" s="53"/>
      <c r="E23" s="53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73"/>
      <c r="S23" s="2"/>
      <c r="T23" s="2"/>
      <c r="U23" s="2"/>
      <c r="V23" s="2"/>
      <c r="W23" s="2"/>
      <c r="X23" s="2"/>
      <c r="Y23" s="2"/>
      <c r="Z23" s="2"/>
    </row>
    <row r="24" spans="1:26" ht="12" customHeight="1" x14ac:dyDescent="0.3">
      <c r="A24" s="2"/>
      <c r="B24" s="2"/>
      <c r="C24" s="2"/>
      <c r="D24" s="53"/>
      <c r="E24" s="53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73"/>
      <c r="S24" s="2"/>
      <c r="T24" s="2"/>
      <c r="U24" s="2"/>
      <c r="V24" s="2"/>
      <c r="W24" s="2"/>
      <c r="X24" s="2"/>
      <c r="Y24" s="2"/>
      <c r="Z24" s="2"/>
    </row>
    <row r="25" spans="1:26" ht="12" customHeight="1" x14ac:dyDescent="0.3">
      <c r="A25" s="2"/>
      <c r="B25" s="2"/>
      <c r="C25" s="2"/>
      <c r="D25" s="53"/>
      <c r="E25" s="53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73"/>
      <c r="S25" s="2"/>
      <c r="T25" s="2"/>
      <c r="U25" s="2"/>
      <c r="V25" s="2"/>
      <c r="W25" s="2"/>
      <c r="X25" s="2"/>
      <c r="Y25" s="2"/>
      <c r="Z25" s="2"/>
    </row>
    <row r="26" spans="1:26" ht="12" customHeight="1" x14ac:dyDescent="0.3">
      <c r="A26" s="2"/>
      <c r="B26" s="2"/>
      <c r="C26" s="2"/>
      <c r="D26" s="53"/>
      <c r="E26" s="53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73"/>
      <c r="S26" s="2"/>
      <c r="T26" s="2"/>
      <c r="U26" s="2"/>
      <c r="V26" s="2"/>
      <c r="W26" s="2"/>
      <c r="X26" s="2"/>
      <c r="Y26" s="2"/>
      <c r="Z26" s="2"/>
    </row>
    <row r="27" spans="1:26" ht="12" customHeight="1" x14ac:dyDescent="0.3">
      <c r="A27" s="2"/>
      <c r="B27" s="2"/>
      <c r="C27" s="2"/>
      <c r="D27" s="53"/>
      <c r="E27" s="53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73"/>
      <c r="S27" s="2"/>
      <c r="T27" s="2"/>
      <c r="U27" s="2"/>
      <c r="V27" s="2"/>
      <c r="W27" s="2"/>
      <c r="X27" s="2"/>
      <c r="Y27" s="2"/>
      <c r="Z27" s="2"/>
    </row>
    <row r="28" spans="1:26" ht="12" customHeight="1" x14ac:dyDescent="0.3">
      <c r="A28" s="2"/>
      <c r="B28" s="2"/>
      <c r="C28" s="2"/>
      <c r="D28" s="53"/>
      <c r="E28" s="53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73"/>
      <c r="S28" s="2"/>
      <c r="T28" s="2"/>
      <c r="U28" s="2"/>
      <c r="V28" s="2"/>
      <c r="W28" s="2"/>
      <c r="X28" s="2"/>
      <c r="Y28" s="2"/>
      <c r="Z28" s="2"/>
    </row>
    <row r="29" spans="1:26" ht="12" customHeight="1" x14ac:dyDescent="0.3">
      <c r="A29" s="2"/>
      <c r="B29" s="2"/>
      <c r="C29" s="2"/>
      <c r="D29" s="53"/>
      <c r="E29" s="53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73"/>
      <c r="S29" s="2"/>
      <c r="T29" s="2"/>
      <c r="U29" s="2"/>
      <c r="V29" s="2"/>
      <c r="W29" s="2"/>
      <c r="X29" s="2"/>
      <c r="Y29" s="2"/>
      <c r="Z29" s="2"/>
    </row>
    <row r="30" spans="1:26" ht="12" customHeight="1" x14ac:dyDescent="0.3">
      <c r="A30" s="2"/>
      <c r="B30" s="2"/>
      <c r="C30" s="2"/>
      <c r="D30" s="53"/>
      <c r="E30" s="53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73"/>
      <c r="S30" s="2"/>
      <c r="T30" s="2"/>
      <c r="U30" s="2"/>
      <c r="V30" s="2"/>
      <c r="W30" s="2"/>
      <c r="X30" s="2"/>
      <c r="Y30" s="2"/>
      <c r="Z30" s="2"/>
    </row>
    <row r="31" spans="1:26" ht="12" customHeight="1" x14ac:dyDescent="0.3">
      <c r="A31" s="2"/>
      <c r="B31" s="2"/>
      <c r="C31" s="2"/>
      <c r="D31" s="53"/>
      <c r="E31" s="53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73"/>
      <c r="S31" s="2"/>
      <c r="T31" s="2"/>
      <c r="U31" s="2"/>
      <c r="V31" s="2"/>
      <c r="W31" s="2"/>
      <c r="X31" s="2"/>
      <c r="Y31" s="2"/>
      <c r="Z31" s="2"/>
    </row>
    <row r="32" spans="1:26" ht="12" customHeight="1" x14ac:dyDescent="0.3">
      <c r="A32" s="2"/>
      <c r="B32" s="2"/>
      <c r="C32" s="2"/>
      <c r="D32" s="53"/>
      <c r="E32" s="53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73"/>
      <c r="S32" s="2"/>
      <c r="T32" s="2"/>
      <c r="U32" s="2"/>
      <c r="V32" s="2"/>
      <c r="W32" s="2"/>
      <c r="X32" s="2"/>
      <c r="Y32" s="2"/>
      <c r="Z32" s="2"/>
    </row>
    <row r="33" spans="1:26" ht="12" customHeight="1" x14ac:dyDescent="0.3">
      <c r="A33" s="2"/>
      <c r="B33" s="2"/>
      <c r="C33" s="2"/>
      <c r="D33" s="53"/>
      <c r="E33" s="53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73"/>
      <c r="S33" s="2"/>
      <c r="T33" s="2"/>
      <c r="U33" s="2"/>
      <c r="V33" s="2"/>
      <c r="W33" s="2"/>
      <c r="X33" s="2"/>
      <c r="Y33" s="2"/>
      <c r="Z33" s="2"/>
    </row>
    <row r="34" spans="1:26" ht="12" customHeight="1" x14ac:dyDescent="0.3">
      <c r="A34" s="2"/>
      <c r="B34" s="2"/>
      <c r="C34" s="2"/>
      <c r="D34" s="53"/>
      <c r="E34" s="53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73"/>
      <c r="S34" s="2"/>
      <c r="T34" s="2"/>
      <c r="U34" s="2"/>
      <c r="V34" s="2"/>
      <c r="W34" s="2"/>
      <c r="X34" s="2"/>
      <c r="Y34" s="2"/>
      <c r="Z34" s="2"/>
    </row>
    <row r="35" spans="1:26" ht="12" customHeight="1" x14ac:dyDescent="0.3">
      <c r="A35" s="2"/>
      <c r="B35" s="2"/>
      <c r="C35" s="2"/>
      <c r="D35" s="53"/>
      <c r="E35" s="53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73"/>
      <c r="S35" s="2"/>
      <c r="T35" s="2"/>
      <c r="U35" s="2"/>
      <c r="V35" s="2"/>
      <c r="W35" s="2"/>
      <c r="X35" s="2"/>
      <c r="Y35" s="2"/>
      <c r="Z35" s="2"/>
    </row>
    <row r="36" spans="1:26" ht="12" customHeight="1" x14ac:dyDescent="0.3">
      <c r="A36" s="2"/>
      <c r="B36" s="2"/>
      <c r="C36" s="2"/>
      <c r="D36" s="53"/>
      <c r="E36" s="53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73"/>
      <c r="S36" s="2"/>
      <c r="T36" s="2"/>
      <c r="U36" s="2"/>
      <c r="V36" s="2"/>
      <c r="W36" s="2"/>
      <c r="X36" s="2"/>
      <c r="Y36" s="2"/>
      <c r="Z36" s="2"/>
    </row>
    <row r="37" spans="1:26" ht="12" customHeight="1" x14ac:dyDescent="0.3">
      <c r="A37" s="2"/>
      <c r="B37" s="2"/>
      <c r="C37" s="2"/>
      <c r="D37" s="53"/>
      <c r="E37" s="53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73"/>
      <c r="S37" s="2"/>
      <c r="T37" s="2"/>
      <c r="U37" s="2"/>
      <c r="V37" s="2"/>
      <c r="W37" s="2"/>
      <c r="X37" s="2"/>
      <c r="Y37" s="2"/>
      <c r="Z37" s="2"/>
    </row>
    <row r="38" spans="1:26" ht="12" customHeight="1" x14ac:dyDescent="0.3">
      <c r="A38" s="2"/>
      <c r="B38" s="2"/>
      <c r="C38" s="2"/>
      <c r="D38" s="53"/>
      <c r="E38" s="53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73"/>
      <c r="S38" s="2"/>
      <c r="T38" s="2"/>
      <c r="U38" s="2"/>
      <c r="V38" s="2"/>
      <c r="W38" s="2"/>
      <c r="X38" s="2"/>
      <c r="Y38" s="2"/>
      <c r="Z38" s="2"/>
    </row>
    <row r="39" spans="1:26" ht="12" customHeight="1" x14ac:dyDescent="0.3">
      <c r="A39" s="2"/>
      <c r="B39" s="2"/>
      <c r="C39" s="2"/>
      <c r="D39" s="53"/>
      <c r="E39" s="53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73"/>
      <c r="S39" s="2"/>
      <c r="T39" s="2"/>
      <c r="U39" s="2"/>
      <c r="V39" s="2"/>
      <c r="W39" s="2"/>
      <c r="X39" s="2"/>
      <c r="Y39" s="2"/>
      <c r="Z39" s="2"/>
    </row>
    <row r="40" spans="1:26" ht="12" customHeight="1" x14ac:dyDescent="0.3">
      <c r="A40" s="2"/>
      <c r="B40" s="2"/>
      <c r="C40" s="2"/>
      <c r="D40" s="53"/>
      <c r="E40" s="53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73"/>
      <c r="S40" s="2"/>
      <c r="T40" s="2"/>
      <c r="U40" s="2"/>
      <c r="V40" s="2"/>
      <c r="W40" s="2"/>
      <c r="X40" s="2"/>
      <c r="Y40" s="2"/>
      <c r="Z40" s="2"/>
    </row>
    <row r="41" spans="1:26" ht="12" customHeight="1" x14ac:dyDescent="0.3">
      <c r="A41" s="2"/>
      <c r="B41" s="2"/>
      <c r="C41" s="2"/>
      <c r="D41" s="53"/>
      <c r="E41" s="53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73"/>
      <c r="S41" s="2"/>
      <c r="T41" s="2"/>
      <c r="U41" s="2"/>
      <c r="V41" s="2"/>
      <c r="W41" s="2"/>
      <c r="X41" s="2"/>
      <c r="Y41" s="2"/>
      <c r="Z41" s="2"/>
    </row>
    <row r="42" spans="1:26" ht="12" customHeight="1" x14ac:dyDescent="0.3">
      <c r="A42" s="2"/>
      <c r="B42" s="2"/>
      <c r="C42" s="2"/>
      <c r="D42" s="53"/>
      <c r="E42" s="53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73"/>
      <c r="S42" s="2"/>
      <c r="T42" s="2"/>
      <c r="U42" s="2"/>
      <c r="V42" s="2"/>
      <c r="W42" s="2"/>
      <c r="X42" s="2"/>
      <c r="Y42" s="2"/>
      <c r="Z42" s="2"/>
    </row>
    <row r="43" spans="1:26" ht="12" customHeight="1" x14ac:dyDescent="0.3">
      <c r="A43" s="2"/>
      <c r="B43" s="2"/>
      <c r="C43" s="2"/>
      <c r="D43" s="53"/>
      <c r="E43" s="53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73"/>
      <c r="S43" s="2"/>
      <c r="T43" s="2"/>
      <c r="U43" s="2"/>
      <c r="V43" s="2"/>
      <c r="W43" s="2"/>
      <c r="X43" s="2"/>
      <c r="Y43" s="2"/>
      <c r="Z43" s="2"/>
    </row>
    <row r="44" spans="1:26" ht="12" customHeight="1" x14ac:dyDescent="0.3">
      <c r="A44" s="2"/>
      <c r="B44" s="2"/>
      <c r="C44" s="2"/>
      <c r="D44" s="53"/>
      <c r="E44" s="53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73"/>
      <c r="S44" s="2"/>
      <c r="T44" s="2"/>
      <c r="U44" s="2"/>
      <c r="V44" s="2"/>
      <c r="W44" s="2"/>
      <c r="X44" s="2"/>
      <c r="Y44" s="2"/>
      <c r="Z44" s="2"/>
    </row>
    <row r="45" spans="1:26" ht="12" customHeight="1" x14ac:dyDescent="0.3">
      <c r="A45" s="2"/>
      <c r="B45" s="2"/>
      <c r="C45" s="2"/>
      <c r="D45" s="53"/>
      <c r="E45" s="53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73"/>
      <c r="S45" s="2"/>
      <c r="T45" s="2"/>
      <c r="U45" s="2"/>
      <c r="V45" s="2"/>
      <c r="W45" s="2"/>
      <c r="X45" s="2"/>
      <c r="Y45" s="2"/>
      <c r="Z45" s="2"/>
    </row>
    <row r="46" spans="1:26" ht="12" customHeight="1" x14ac:dyDescent="0.3">
      <c r="A46" s="2"/>
      <c r="B46" s="2"/>
      <c r="C46" s="2"/>
      <c r="D46" s="53"/>
      <c r="E46" s="53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73"/>
      <c r="S46" s="2"/>
      <c r="T46" s="2"/>
      <c r="U46" s="2"/>
      <c r="V46" s="2"/>
      <c r="W46" s="2"/>
      <c r="X46" s="2"/>
      <c r="Y46" s="2"/>
      <c r="Z46" s="2"/>
    </row>
    <row r="47" spans="1:26" ht="12" customHeight="1" x14ac:dyDescent="0.3">
      <c r="A47" s="2"/>
      <c r="B47" s="2"/>
      <c r="C47" s="2"/>
      <c r="D47" s="53"/>
      <c r="E47" s="53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73"/>
      <c r="S47" s="2"/>
      <c r="T47" s="2"/>
      <c r="U47" s="2"/>
      <c r="V47" s="2"/>
      <c r="W47" s="2"/>
      <c r="X47" s="2"/>
      <c r="Y47" s="2"/>
      <c r="Z47" s="2"/>
    </row>
    <row r="48" spans="1:26" ht="12" customHeight="1" x14ac:dyDescent="0.3">
      <c r="A48" s="2"/>
      <c r="B48" s="2"/>
      <c r="C48" s="2"/>
      <c r="D48" s="53"/>
      <c r="E48" s="53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73"/>
      <c r="S48" s="2"/>
      <c r="T48" s="2"/>
      <c r="U48" s="2"/>
      <c r="V48" s="2"/>
      <c r="W48" s="2"/>
      <c r="X48" s="2"/>
      <c r="Y48" s="2"/>
      <c r="Z48" s="2"/>
    </row>
    <row r="49" spans="1:26" ht="12" customHeight="1" x14ac:dyDescent="0.3">
      <c r="A49" s="2"/>
      <c r="B49" s="2"/>
      <c r="C49" s="2"/>
      <c r="D49" s="53"/>
      <c r="E49" s="53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73"/>
      <c r="S49" s="2"/>
      <c r="T49" s="2"/>
      <c r="U49" s="2"/>
      <c r="V49" s="2"/>
      <c r="W49" s="2"/>
      <c r="X49" s="2"/>
      <c r="Y49" s="2"/>
      <c r="Z49" s="2"/>
    </row>
    <row r="50" spans="1:26" ht="12" customHeight="1" x14ac:dyDescent="0.3">
      <c r="A50" s="2"/>
      <c r="B50" s="2"/>
      <c r="C50" s="2"/>
      <c r="D50" s="53"/>
      <c r="E50" s="53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73"/>
      <c r="S50" s="2"/>
      <c r="T50" s="2"/>
      <c r="U50" s="2"/>
      <c r="V50" s="2"/>
      <c r="W50" s="2"/>
      <c r="X50" s="2"/>
      <c r="Y50" s="2"/>
      <c r="Z50" s="2"/>
    </row>
    <row r="51" spans="1:26" ht="12" customHeight="1" x14ac:dyDescent="0.3">
      <c r="A51" s="2"/>
      <c r="B51" s="2"/>
      <c r="C51" s="2"/>
      <c r="D51" s="53"/>
      <c r="E51" s="53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73"/>
      <c r="S51" s="2"/>
      <c r="T51" s="2"/>
      <c r="U51" s="2"/>
      <c r="V51" s="2"/>
      <c r="W51" s="2"/>
      <c r="X51" s="2"/>
      <c r="Y51" s="2"/>
      <c r="Z51" s="2"/>
    </row>
    <row r="52" spans="1:26" ht="12" customHeight="1" x14ac:dyDescent="0.3">
      <c r="A52" s="2"/>
      <c r="B52" s="2"/>
      <c r="C52" s="2"/>
      <c r="D52" s="53"/>
      <c r="E52" s="53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73"/>
      <c r="S52" s="2"/>
      <c r="T52" s="2"/>
      <c r="U52" s="2"/>
      <c r="V52" s="2"/>
      <c r="W52" s="2"/>
      <c r="X52" s="2"/>
      <c r="Y52" s="2"/>
      <c r="Z52" s="2"/>
    </row>
    <row r="53" spans="1:26" ht="12" customHeight="1" x14ac:dyDescent="0.3">
      <c r="A53" s="2"/>
      <c r="B53" s="2"/>
      <c r="C53" s="2"/>
      <c r="D53" s="53"/>
      <c r="E53" s="53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73"/>
      <c r="S53" s="2"/>
      <c r="T53" s="2"/>
      <c r="U53" s="2"/>
      <c r="V53" s="2"/>
      <c r="W53" s="2"/>
      <c r="X53" s="2"/>
      <c r="Y53" s="2"/>
      <c r="Z53" s="2"/>
    </row>
    <row r="54" spans="1:26" ht="12" customHeight="1" x14ac:dyDescent="0.3">
      <c r="A54" s="2"/>
      <c r="B54" s="2"/>
      <c r="C54" s="2"/>
      <c r="D54" s="53"/>
      <c r="E54" s="53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73"/>
      <c r="S54" s="2"/>
      <c r="T54" s="2"/>
      <c r="U54" s="2"/>
      <c r="V54" s="2"/>
      <c r="W54" s="2"/>
      <c r="X54" s="2"/>
      <c r="Y54" s="2"/>
      <c r="Z54" s="2"/>
    </row>
    <row r="55" spans="1:26" ht="12" customHeight="1" x14ac:dyDescent="0.3">
      <c r="A55" s="2"/>
      <c r="B55" s="2"/>
      <c r="C55" s="2"/>
      <c r="D55" s="53"/>
      <c r="E55" s="53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73"/>
      <c r="S55" s="2"/>
      <c r="T55" s="2"/>
      <c r="U55" s="2"/>
      <c r="V55" s="2"/>
      <c r="W55" s="2"/>
      <c r="X55" s="2"/>
      <c r="Y55" s="2"/>
      <c r="Z55" s="2"/>
    </row>
    <row r="56" spans="1:26" ht="12" customHeight="1" x14ac:dyDescent="0.3">
      <c r="A56" s="2"/>
      <c r="B56" s="2"/>
      <c r="C56" s="2"/>
      <c r="D56" s="53"/>
      <c r="E56" s="53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73"/>
      <c r="S56" s="2"/>
      <c r="T56" s="2"/>
      <c r="U56" s="2"/>
      <c r="V56" s="2"/>
      <c r="W56" s="2"/>
      <c r="X56" s="2"/>
      <c r="Y56" s="2"/>
      <c r="Z56" s="2"/>
    </row>
    <row r="57" spans="1:26" ht="12" customHeight="1" x14ac:dyDescent="0.3">
      <c r="A57" s="2"/>
      <c r="B57" s="2"/>
      <c r="C57" s="2"/>
      <c r="D57" s="53"/>
      <c r="E57" s="53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73"/>
      <c r="S57" s="2"/>
      <c r="T57" s="2"/>
      <c r="U57" s="2"/>
      <c r="V57" s="2"/>
      <c r="W57" s="2"/>
      <c r="X57" s="2"/>
      <c r="Y57" s="2"/>
      <c r="Z57" s="2"/>
    </row>
    <row r="58" spans="1:26" ht="12" customHeight="1" x14ac:dyDescent="0.3">
      <c r="A58" s="2"/>
      <c r="B58" s="2"/>
      <c r="C58" s="2"/>
      <c r="D58" s="53"/>
      <c r="E58" s="53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73"/>
      <c r="S58" s="2"/>
      <c r="T58" s="2"/>
      <c r="U58" s="2"/>
      <c r="V58" s="2"/>
      <c r="W58" s="2"/>
      <c r="X58" s="2"/>
      <c r="Y58" s="2"/>
      <c r="Z58" s="2"/>
    </row>
    <row r="59" spans="1:26" ht="12" customHeight="1" x14ac:dyDescent="0.3">
      <c r="A59" s="2"/>
      <c r="B59" s="2"/>
      <c r="C59" s="2"/>
      <c r="D59" s="53"/>
      <c r="E59" s="53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73"/>
      <c r="S59" s="2"/>
      <c r="T59" s="2"/>
      <c r="U59" s="2"/>
      <c r="V59" s="2"/>
      <c r="W59" s="2"/>
      <c r="X59" s="2"/>
      <c r="Y59" s="2"/>
      <c r="Z59" s="2"/>
    </row>
    <row r="60" spans="1:26" ht="12" customHeight="1" x14ac:dyDescent="0.3">
      <c r="A60" s="2"/>
      <c r="B60" s="2"/>
      <c r="C60" s="2"/>
      <c r="D60" s="53"/>
      <c r="E60" s="53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73"/>
      <c r="S60" s="2"/>
      <c r="T60" s="2"/>
      <c r="U60" s="2"/>
      <c r="V60" s="2"/>
      <c r="W60" s="2"/>
      <c r="X60" s="2"/>
      <c r="Y60" s="2"/>
      <c r="Z60" s="2"/>
    </row>
    <row r="61" spans="1:26" ht="12" customHeight="1" x14ac:dyDescent="0.3">
      <c r="A61" s="2"/>
      <c r="B61" s="2"/>
      <c r="C61" s="2"/>
      <c r="D61" s="53"/>
      <c r="E61" s="53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73"/>
      <c r="S61" s="2"/>
      <c r="T61" s="2"/>
      <c r="U61" s="2"/>
      <c r="V61" s="2"/>
      <c r="W61" s="2"/>
      <c r="X61" s="2"/>
      <c r="Y61" s="2"/>
      <c r="Z61" s="2"/>
    </row>
    <row r="62" spans="1:26" ht="12" customHeight="1" x14ac:dyDescent="0.3">
      <c r="A62" s="2"/>
      <c r="B62" s="2"/>
      <c r="C62" s="2"/>
      <c r="D62" s="53"/>
      <c r="E62" s="53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73"/>
      <c r="S62" s="2"/>
      <c r="T62" s="2"/>
      <c r="U62" s="2"/>
      <c r="V62" s="2"/>
      <c r="W62" s="2"/>
      <c r="X62" s="2"/>
      <c r="Y62" s="2"/>
      <c r="Z62" s="2"/>
    </row>
    <row r="63" spans="1:26" ht="12" customHeight="1" x14ac:dyDescent="0.3">
      <c r="A63" s="2"/>
      <c r="B63" s="2"/>
      <c r="C63" s="2"/>
      <c r="D63" s="53"/>
      <c r="E63" s="53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73"/>
      <c r="S63" s="2"/>
      <c r="T63" s="2"/>
      <c r="U63" s="2"/>
      <c r="V63" s="2"/>
      <c r="W63" s="2"/>
      <c r="X63" s="2"/>
      <c r="Y63" s="2"/>
      <c r="Z63" s="2"/>
    </row>
    <row r="64" spans="1:26" ht="12" customHeight="1" x14ac:dyDescent="0.3">
      <c r="A64" s="2"/>
      <c r="B64" s="2"/>
      <c r="C64" s="2"/>
      <c r="D64" s="53"/>
      <c r="E64" s="53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73"/>
      <c r="S64" s="2"/>
      <c r="T64" s="2"/>
      <c r="U64" s="2"/>
      <c r="V64" s="2"/>
      <c r="W64" s="2"/>
      <c r="X64" s="2"/>
      <c r="Y64" s="2"/>
      <c r="Z64" s="2"/>
    </row>
    <row r="65" spans="1:26" ht="12" customHeight="1" x14ac:dyDescent="0.3">
      <c r="A65" s="2"/>
      <c r="B65" s="2"/>
      <c r="C65" s="2"/>
      <c r="D65" s="53"/>
      <c r="E65" s="53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73"/>
      <c r="S65" s="2"/>
      <c r="T65" s="2"/>
      <c r="U65" s="2"/>
      <c r="V65" s="2"/>
      <c r="W65" s="2"/>
      <c r="X65" s="2"/>
      <c r="Y65" s="2"/>
      <c r="Z65" s="2"/>
    </row>
    <row r="66" spans="1:26" ht="12" customHeight="1" x14ac:dyDescent="0.3">
      <c r="A66" s="2"/>
      <c r="B66" s="2"/>
      <c r="C66" s="2"/>
      <c r="D66" s="53"/>
      <c r="E66" s="53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73"/>
      <c r="S66" s="2"/>
      <c r="T66" s="2"/>
      <c r="U66" s="2"/>
      <c r="V66" s="2"/>
      <c r="W66" s="2"/>
      <c r="X66" s="2"/>
      <c r="Y66" s="2"/>
      <c r="Z66" s="2"/>
    </row>
    <row r="67" spans="1:26" ht="12" customHeight="1" x14ac:dyDescent="0.3">
      <c r="A67" s="2"/>
      <c r="B67" s="2"/>
      <c r="C67" s="2"/>
      <c r="D67" s="53"/>
      <c r="E67" s="53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73"/>
      <c r="S67" s="2"/>
      <c r="T67" s="2"/>
      <c r="U67" s="2"/>
      <c r="V67" s="2"/>
      <c r="W67" s="2"/>
      <c r="X67" s="2"/>
      <c r="Y67" s="2"/>
      <c r="Z67" s="2"/>
    </row>
    <row r="68" spans="1:26" ht="12" customHeight="1" x14ac:dyDescent="0.3">
      <c r="A68" s="2"/>
      <c r="B68" s="2"/>
      <c r="C68" s="2"/>
      <c r="D68" s="53"/>
      <c r="E68" s="53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73"/>
      <c r="S68" s="2"/>
      <c r="T68" s="2"/>
      <c r="U68" s="2"/>
      <c r="V68" s="2"/>
      <c r="W68" s="2"/>
      <c r="X68" s="2"/>
      <c r="Y68" s="2"/>
      <c r="Z68" s="2"/>
    </row>
    <row r="69" spans="1:26" ht="12" customHeight="1" x14ac:dyDescent="0.3">
      <c r="A69" s="2"/>
      <c r="B69" s="2"/>
      <c r="C69" s="2"/>
      <c r="D69" s="53"/>
      <c r="E69" s="53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73"/>
      <c r="S69" s="2"/>
      <c r="T69" s="2"/>
      <c r="U69" s="2"/>
      <c r="V69" s="2"/>
      <c r="W69" s="2"/>
      <c r="X69" s="2"/>
      <c r="Y69" s="2"/>
      <c r="Z69" s="2"/>
    </row>
    <row r="70" spans="1:26" ht="12" customHeight="1" x14ac:dyDescent="0.3">
      <c r="A70" s="2"/>
      <c r="B70" s="2"/>
      <c r="C70" s="2"/>
      <c r="D70" s="53"/>
      <c r="E70" s="53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73"/>
      <c r="S70" s="2"/>
      <c r="T70" s="2"/>
      <c r="U70" s="2"/>
      <c r="V70" s="2"/>
      <c r="W70" s="2"/>
      <c r="X70" s="2"/>
      <c r="Y70" s="2"/>
      <c r="Z70" s="2"/>
    </row>
    <row r="71" spans="1:26" ht="12" customHeight="1" x14ac:dyDescent="0.3">
      <c r="A71" s="2"/>
      <c r="B71" s="2"/>
      <c r="C71" s="2"/>
      <c r="D71" s="53"/>
      <c r="E71" s="53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73"/>
      <c r="S71" s="2"/>
      <c r="T71" s="2"/>
      <c r="U71" s="2"/>
      <c r="V71" s="2"/>
      <c r="W71" s="2"/>
      <c r="X71" s="2"/>
      <c r="Y71" s="2"/>
      <c r="Z71" s="2"/>
    </row>
    <row r="72" spans="1:26" ht="12" customHeight="1" x14ac:dyDescent="0.3">
      <c r="A72" s="2"/>
      <c r="B72" s="2"/>
      <c r="C72" s="2"/>
      <c r="D72" s="53"/>
      <c r="E72" s="53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73"/>
      <c r="S72" s="2"/>
      <c r="T72" s="2"/>
      <c r="U72" s="2"/>
      <c r="V72" s="2"/>
      <c r="W72" s="2"/>
      <c r="X72" s="2"/>
      <c r="Y72" s="2"/>
      <c r="Z72" s="2"/>
    </row>
    <row r="73" spans="1:26" ht="12" customHeight="1" x14ac:dyDescent="0.3">
      <c r="A73" s="2"/>
      <c r="B73" s="2"/>
      <c r="C73" s="2"/>
      <c r="D73" s="53"/>
      <c r="E73" s="53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73"/>
      <c r="S73" s="2"/>
      <c r="T73" s="2"/>
      <c r="U73" s="2"/>
      <c r="V73" s="2"/>
      <c r="W73" s="2"/>
      <c r="X73" s="2"/>
      <c r="Y73" s="2"/>
      <c r="Z73" s="2"/>
    </row>
    <row r="74" spans="1:26" ht="12" customHeight="1" x14ac:dyDescent="0.3">
      <c r="A74" s="2"/>
      <c r="B74" s="2"/>
      <c r="C74" s="2"/>
      <c r="D74" s="53"/>
      <c r="E74" s="53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73"/>
      <c r="S74" s="2"/>
      <c r="T74" s="2"/>
      <c r="U74" s="2"/>
      <c r="V74" s="2"/>
      <c r="W74" s="2"/>
      <c r="X74" s="2"/>
      <c r="Y74" s="2"/>
      <c r="Z74" s="2"/>
    </row>
    <row r="75" spans="1:26" ht="12" customHeight="1" x14ac:dyDescent="0.3">
      <c r="A75" s="2"/>
      <c r="B75" s="2"/>
      <c r="C75" s="2"/>
      <c r="D75" s="53"/>
      <c r="E75" s="53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73"/>
      <c r="S75" s="2"/>
      <c r="T75" s="2"/>
      <c r="U75" s="2"/>
      <c r="V75" s="2"/>
      <c r="W75" s="2"/>
      <c r="X75" s="2"/>
      <c r="Y75" s="2"/>
      <c r="Z75" s="2"/>
    </row>
    <row r="76" spans="1:26" ht="12" customHeight="1" x14ac:dyDescent="0.3">
      <c r="A76" s="2"/>
      <c r="B76" s="2"/>
      <c r="C76" s="2"/>
      <c r="D76" s="53"/>
      <c r="E76" s="53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73"/>
      <c r="S76" s="2"/>
      <c r="T76" s="2"/>
      <c r="U76" s="2"/>
      <c r="V76" s="2"/>
      <c r="W76" s="2"/>
      <c r="X76" s="2"/>
      <c r="Y76" s="2"/>
      <c r="Z76" s="2"/>
    </row>
    <row r="77" spans="1:26" ht="12" customHeight="1" x14ac:dyDescent="0.3">
      <c r="A77" s="2"/>
      <c r="B77" s="2"/>
      <c r="C77" s="2"/>
      <c r="D77" s="53"/>
      <c r="E77" s="53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73"/>
      <c r="S77" s="2"/>
      <c r="T77" s="2"/>
      <c r="U77" s="2"/>
      <c r="V77" s="2"/>
      <c r="W77" s="2"/>
      <c r="X77" s="2"/>
      <c r="Y77" s="2"/>
      <c r="Z77" s="2"/>
    </row>
    <row r="78" spans="1:26" ht="12" customHeight="1" x14ac:dyDescent="0.3">
      <c r="A78" s="2"/>
      <c r="B78" s="2"/>
      <c r="C78" s="2"/>
      <c r="D78" s="53"/>
      <c r="E78" s="53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73"/>
      <c r="S78" s="2"/>
      <c r="T78" s="2"/>
      <c r="U78" s="2"/>
      <c r="V78" s="2"/>
      <c r="W78" s="2"/>
      <c r="X78" s="2"/>
      <c r="Y78" s="2"/>
      <c r="Z78" s="2"/>
    </row>
    <row r="79" spans="1:26" ht="12" customHeight="1" x14ac:dyDescent="0.3">
      <c r="A79" s="2"/>
      <c r="B79" s="2"/>
      <c r="C79" s="2"/>
      <c r="D79" s="53"/>
      <c r="E79" s="53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73"/>
      <c r="S79" s="2"/>
      <c r="T79" s="2"/>
      <c r="U79" s="2"/>
      <c r="V79" s="2"/>
      <c r="W79" s="2"/>
      <c r="X79" s="2"/>
      <c r="Y79" s="2"/>
      <c r="Z79" s="2"/>
    </row>
    <row r="80" spans="1:26" ht="12" customHeight="1" x14ac:dyDescent="0.3">
      <c r="A80" s="2"/>
      <c r="B80" s="2"/>
      <c r="C80" s="2"/>
      <c r="D80" s="53"/>
      <c r="E80" s="53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73"/>
      <c r="S80" s="2"/>
      <c r="T80" s="2"/>
      <c r="U80" s="2"/>
      <c r="V80" s="2"/>
      <c r="W80" s="2"/>
      <c r="X80" s="2"/>
      <c r="Y80" s="2"/>
      <c r="Z80" s="2"/>
    </row>
    <row r="81" spans="1:26" ht="12" customHeight="1" x14ac:dyDescent="0.3">
      <c r="A81" s="2"/>
      <c r="B81" s="2"/>
      <c r="C81" s="2"/>
      <c r="D81" s="53"/>
      <c r="E81" s="53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73"/>
      <c r="S81" s="2"/>
      <c r="T81" s="2"/>
      <c r="U81" s="2"/>
      <c r="V81" s="2"/>
      <c r="W81" s="2"/>
      <c r="X81" s="2"/>
      <c r="Y81" s="2"/>
      <c r="Z81" s="2"/>
    </row>
    <row r="82" spans="1:26" ht="12" customHeight="1" x14ac:dyDescent="0.3">
      <c r="A82" s="2"/>
      <c r="B82" s="2"/>
      <c r="C82" s="2"/>
      <c r="D82" s="53"/>
      <c r="E82" s="53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73"/>
      <c r="S82" s="2"/>
      <c r="T82" s="2"/>
      <c r="U82" s="2"/>
      <c r="V82" s="2"/>
      <c r="W82" s="2"/>
      <c r="X82" s="2"/>
      <c r="Y82" s="2"/>
      <c r="Z82" s="2"/>
    </row>
    <row r="83" spans="1:26" ht="12" customHeight="1" x14ac:dyDescent="0.3">
      <c r="A83" s="2"/>
      <c r="B83" s="2"/>
      <c r="C83" s="2"/>
      <c r="D83" s="53"/>
      <c r="E83" s="53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73"/>
      <c r="S83" s="2"/>
      <c r="T83" s="2"/>
      <c r="U83" s="2"/>
      <c r="V83" s="2"/>
      <c r="W83" s="2"/>
      <c r="X83" s="2"/>
      <c r="Y83" s="2"/>
      <c r="Z83" s="2"/>
    </row>
    <row r="84" spans="1:26" ht="12" customHeight="1" x14ac:dyDescent="0.3">
      <c r="A84" s="2"/>
      <c r="B84" s="2"/>
      <c r="C84" s="2"/>
      <c r="D84" s="53"/>
      <c r="E84" s="53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73"/>
      <c r="S84" s="2"/>
      <c r="T84" s="2"/>
      <c r="U84" s="2"/>
      <c r="V84" s="2"/>
      <c r="W84" s="2"/>
      <c r="X84" s="2"/>
      <c r="Y84" s="2"/>
      <c r="Z84" s="2"/>
    </row>
    <row r="85" spans="1:26" ht="12" customHeight="1" x14ac:dyDescent="0.3">
      <c r="A85" s="2"/>
      <c r="B85" s="2"/>
      <c r="C85" s="2"/>
      <c r="D85" s="53"/>
      <c r="E85" s="53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73"/>
      <c r="S85" s="2"/>
      <c r="T85" s="2"/>
      <c r="U85" s="2"/>
      <c r="V85" s="2"/>
      <c r="W85" s="2"/>
      <c r="X85" s="2"/>
      <c r="Y85" s="2"/>
      <c r="Z85" s="2"/>
    </row>
    <row r="86" spans="1:26" ht="12" customHeight="1" x14ac:dyDescent="0.3">
      <c r="A86" s="2"/>
      <c r="B86" s="2"/>
      <c r="C86" s="2"/>
      <c r="D86" s="53"/>
      <c r="E86" s="53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73"/>
      <c r="S86" s="2"/>
      <c r="T86" s="2"/>
      <c r="U86" s="2"/>
      <c r="V86" s="2"/>
      <c r="W86" s="2"/>
      <c r="X86" s="2"/>
      <c r="Y86" s="2"/>
      <c r="Z86" s="2"/>
    </row>
    <row r="87" spans="1:26" ht="12" customHeight="1" x14ac:dyDescent="0.3">
      <c r="A87" s="2"/>
      <c r="B87" s="2"/>
      <c r="C87" s="2"/>
      <c r="D87" s="53"/>
      <c r="E87" s="53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73"/>
      <c r="S87" s="2"/>
      <c r="T87" s="2"/>
      <c r="U87" s="2"/>
      <c r="V87" s="2"/>
      <c r="W87" s="2"/>
      <c r="X87" s="2"/>
      <c r="Y87" s="2"/>
      <c r="Z87" s="2"/>
    </row>
    <row r="88" spans="1:26" ht="12" customHeight="1" x14ac:dyDescent="0.3">
      <c r="A88" s="2"/>
      <c r="B88" s="2"/>
      <c r="C88" s="2"/>
      <c r="D88" s="53"/>
      <c r="E88" s="53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73"/>
      <c r="S88" s="2"/>
      <c r="T88" s="2"/>
      <c r="U88" s="2"/>
      <c r="V88" s="2"/>
      <c r="W88" s="2"/>
      <c r="X88" s="2"/>
      <c r="Y88" s="2"/>
      <c r="Z88" s="2"/>
    </row>
    <row r="89" spans="1:26" ht="12" customHeight="1" x14ac:dyDescent="0.3">
      <c r="A89" s="2"/>
      <c r="B89" s="2"/>
      <c r="C89" s="2"/>
      <c r="D89" s="53"/>
      <c r="E89" s="53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73"/>
      <c r="S89" s="2"/>
      <c r="T89" s="2"/>
      <c r="U89" s="2"/>
      <c r="V89" s="2"/>
      <c r="W89" s="2"/>
      <c r="X89" s="2"/>
      <c r="Y89" s="2"/>
      <c r="Z89" s="2"/>
    </row>
    <row r="90" spans="1:26" ht="12" customHeight="1" x14ac:dyDescent="0.3">
      <c r="A90" s="2"/>
      <c r="B90" s="2"/>
      <c r="C90" s="2"/>
      <c r="D90" s="53"/>
      <c r="E90" s="53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73"/>
      <c r="S90" s="2"/>
      <c r="T90" s="2"/>
      <c r="U90" s="2"/>
      <c r="V90" s="2"/>
      <c r="W90" s="2"/>
      <c r="X90" s="2"/>
      <c r="Y90" s="2"/>
      <c r="Z90" s="2"/>
    </row>
    <row r="91" spans="1:26" ht="12" customHeight="1" x14ac:dyDescent="0.3">
      <c r="A91" s="2"/>
      <c r="B91" s="2"/>
      <c r="C91" s="2"/>
      <c r="D91" s="53"/>
      <c r="E91" s="53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73"/>
      <c r="S91" s="2"/>
      <c r="T91" s="2"/>
      <c r="U91" s="2"/>
      <c r="V91" s="2"/>
      <c r="W91" s="2"/>
      <c r="X91" s="2"/>
      <c r="Y91" s="2"/>
      <c r="Z91" s="2"/>
    </row>
    <row r="92" spans="1:26" ht="12" customHeight="1" x14ac:dyDescent="0.3">
      <c r="A92" s="2"/>
      <c r="B92" s="2"/>
      <c r="C92" s="2"/>
      <c r="D92" s="53"/>
      <c r="E92" s="53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73"/>
      <c r="S92" s="2"/>
      <c r="T92" s="2"/>
      <c r="U92" s="2"/>
      <c r="V92" s="2"/>
      <c r="W92" s="2"/>
      <c r="X92" s="2"/>
      <c r="Y92" s="2"/>
      <c r="Z92" s="2"/>
    </row>
    <row r="93" spans="1:26" ht="12" customHeight="1" x14ac:dyDescent="0.3">
      <c r="A93" s="2"/>
      <c r="B93" s="2"/>
      <c r="C93" s="2"/>
      <c r="D93" s="53"/>
      <c r="E93" s="53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73"/>
      <c r="S93" s="2"/>
      <c r="T93" s="2"/>
      <c r="U93" s="2"/>
      <c r="V93" s="2"/>
      <c r="W93" s="2"/>
      <c r="X93" s="2"/>
      <c r="Y93" s="2"/>
      <c r="Z93" s="2"/>
    </row>
    <row r="94" spans="1:26" ht="12" customHeight="1" x14ac:dyDescent="0.3">
      <c r="A94" s="2"/>
      <c r="B94" s="2"/>
      <c r="C94" s="2"/>
      <c r="D94" s="53"/>
      <c r="E94" s="53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73"/>
      <c r="S94" s="2"/>
      <c r="T94" s="2"/>
      <c r="U94" s="2"/>
      <c r="V94" s="2"/>
      <c r="W94" s="2"/>
      <c r="X94" s="2"/>
      <c r="Y94" s="2"/>
      <c r="Z94" s="2"/>
    </row>
    <row r="95" spans="1:26" ht="12" customHeight="1" x14ac:dyDescent="0.3">
      <c r="A95" s="2"/>
      <c r="B95" s="2"/>
      <c r="C95" s="2"/>
      <c r="D95" s="53"/>
      <c r="E95" s="53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73"/>
      <c r="S95" s="2"/>
      <c r="T95" s="2"/>
      <c r="U95" s="2"/>
      <c r="V95" s="2"/>
      <c r="W95" s="2"/>
      <c r="X95" s="2"/>
      <c r="Y95" s="2"/>
      <c r="Z95" s="2"/>
    </row>
    <row r="96" spans="1:26" ht="12" customHeight="1" x14ac:dyDescent="0.3">
      <c r="A96" s="2"/>
      <c r="B96" s="2"/>
      <c r="C96" s="2"/>
      <c r="D96" s="53"/>
      <c r="E96" s="53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73"/>
      <c r="S96" s="2"/>
      <c r="T96" s="2"/>
      <c r="U96" s="2"/>
      <c r="V96" s="2"/>
      <c r="W96" s="2"/>
      <c r="X96" s="2"/>
      <c r="Y96" s="2"/>
      <c r="Z96" s="2"/>
    </row>
    <row r="97" spans="1:26" ht="12" customHeight="1" x14ac:dyDescent="0.3">
      <c r="A97" s="2"/>
      <c r="B97" s="2"/>
      <c r="C97" s="2"/>
      <c r="D97" s="53"/>
      <c r="E97" s="53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73"/>
      <c r="S97" s="2"/>
      <c r="T97" s="2"/>
      <c r="U97" s="2"/>
      <c r="V97" s="2"/>
      <c r="W97" s="2"/>
      <c r="X97" s="2"/>
      <c r="Y97" s="2"/>
      <c r="Z97" s="2"/>
    </row>
    <row r="98" spans="1:26" ht="12" customHeight="1" x14ac:dyDescent="0.3">
      <c r="A98" s="2"/>
      <c r="B98" s="2"/>
      <c r="C98" s="2"/>
      <c r="D98" s="53"/>
      <c r="E98" s="53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73"/>
      <c r="S98" s="2"/>
      <c r="T98" s="2"/>
      <c r="U98" s="2"/>
      <c r="V98" s="2"/>
      <c r="W98" s="2"/>
      <c r="X98" s="2"/>
      <c r="Y98" s="2"/>
      <c r="Z98" s="2"/>
    </row>
    <row r="99" spans="1:26" ht="12" customHeight="1" x14ac:dyDescent="0.3">
      <c r="A99" s="2"/>
      <c r="B99" s="2"/>
      <c r="C99" s="2"/>
      <c r="D99" s="53"/>
      <c r="E99" s="53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73"/>
      <c r="S99" s="2"/>
      <c r="T99" s="2"/>
      <c r="U99" s="2"/>
      <c r="V99" s="2"/>
      <c r="W99" s="2"/>
      <c r="X99" s="2"/>
      <c r="Y99" s="2"/>
      <c r="Z99" s="2"/>
    </row>
    <row r="100" spans="1:26" ht="12" customHeight="1" x14ac:dyDescent="0.3">
      <c r="A100" s="2"/>
      <c r="B100" s="2"/>
      <c r="C100" s="2"/>
      <c r="D100" s="53"/>
      <c r="E100" s="53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73"/>
      <c r="S100" s="2"/>
      <c r="T100" s="2"/>
      <c r="U100" s="2"/>
      <c r="V100" s="2"/>
      <c r="W100" s="2"/>
      <c r="X100" s="2"/>
      <c r="Y100" s="2"/>
      <c r="Z100" s="2"/>
    </row>
    <row r="101" spans="1:26" ht="12" customHeight="1" x14ac:dyDescent="0.3">
      <c r="A101" s="2"/>
      <c r="B101" s="2"/>
      <c r="C101" s="2"/>
      <c r="D101" s="53"/>
      <c r="E101" s="53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73"/>
      <c r="S101" s="2"/>
      <c r="T101" s="2"/>
      <c r="U101" s="2"/>
      <c r="V101" s="2"/>
      <c r="W101" s="2"/>
      <c r="X101" s="2"/>
      <c r="Y101" s="2"/>
      <c r="Z101" s="2"/>
    </row>
    <row r="102" spans="1:26" ht="12" customHeight="1" x14ac:dyDescent="0.3">
      <c r="A102" s="2"/>
      <c r="B102" s="2"/>
      <c r="C102" s="2"/>
      <c r="D102" s="53"/>
      <c r="E102" s="53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73"/>
      <c r="S102" s="2"/>
      <c r="T102" s="2"/>
      <c r="U102" s="2"/>
      <c r="V102" s="2"/>
      <c r="W102" s="2"/>
      <c r="X102" s="2"/>
      <c r="Y102" s="2"/>
      <c r="Z102" s="2"/>
    </row>
    <row r="103" spans="1:26" ht="12" customHeight="1" x14ac:dyDescent="0.3">
      <c r="A103" s="2"/>
      <c r="B103" s="2"/>
      <c r="C103" s="2"/>
      <c r="D103" s="53"/>
      <c r="E103" s="53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73"/>
      <c r="S103" s="2"/>
      <c r="T103" s="2"/>
      <c r="U103" s="2"/>
      <c r="V103" s="2"/>
      <c r="W103" s="2"/>
      <c r="X103" s="2"/>
      <c r="Y103" s="2"/>
      <c r="Z103" s="2"/>
    </row>
    <row r="104" spans="1:26" ht="12" customHeight="1" x14ac:dyDescent="0.3">
      <c r="A104" s="2"/>
      <c r="B104" s="2"/>
      <c r="C104" s="2"/>
      <c r="D104" s="53"/>
      <c r="E104" s="53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73"/>
      <c r="S104" s="2"/>
      <c r="T104" s="2"/>
      <c r="U104" s="2"/>
      <c r="V104" s="2"/>
      <c r="W104" s="2"/>
      <c r="X104" s="2"/>
      <c r="Y104" s="2"/>
      <c r="Z104" s="2"/>
    </row>
    <row r="105" spans="1:26" ht="12" customHeight="1" x14ac:dyDescent="0.3">
      <c r="A105" s="2"/>
      <c r="B105" s="2"/>
      <c r="C105" s="2"/>
      <c r="D105" s="53"/>
      <c r="E105" s="53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73"/>
      <c r="S105" s="2"/>
      <c r="T105" s="2"/>
      <c r="U105" s="2"/>
      <c r="V105" s="2"/>
      <c r="W105" s="2"/>
      <c r="X105" s="2"/>
      <c r="Y105" s="2"/>
      <c r="Z105" s="2"/>
    </row>
    <row r="106" spans="1:26" ht="12" customHeight="1" x14ac:dyDescent="0.3">
      <c r="A106" s="2"/>
      <c r="B106" s="2"/>
      <c r="C106" s="2"/>
      <c r="D106" s="53"/>
      <c r="E106" s="53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73"/>
      <c r="S106" s="2"/>
      <c r="T106" s="2"/>
      <c r="U106" s="2"/>
      <c r="V106" s="2"/>
      <c r="W106" s="2"/>
      <c r="X106" s="2"/>
      <c r="Y106" s="2"/>
      <c r="Z106" s="2"/>
    </row>
    <row r="107" spans="1:26" ht="12" customHeight="1" x14ac:dyDescent="0.3">
      <c r="A107" s="2"/>
      <c r="B107" s="2"/>
      <c r="C107" s="2"/>
      <c r="D107" s="53"/>
      <c r="E107" s="53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73"/>
      <c r="S107" s="2"/>
      <c r="T107" s="2"/>
      <c r="U107" s="2"/>
      <c r="V107" s="2"/>
      <c r="W107" s="2"/>
      <c r="X107" s="2"/>
      <c r="Y107" s="2"/>
      <c r="Z107" s="2"/>
    </row>
    <row r="108" spans="1:26" ht="12" customHeight="1" x14ac:dyDescent="0.3">
      <c r="A108" s="2"/>
      <c r="B108" s="2"/>
      <c r="C108" s="2"/>
      <c r="D108" s="53"/>
      <c r="E108" s="53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73"/>
      <c r="S108" s="2"/>
      <c r="T108" s="2"/>
      <c r="U108" s="2"/>
      <c r="V108" s="2"/>
      <c r="W108" s="2"/>
      <c r="X108" s="2"/>
      <c r="Y108" s="2"/>
      <c r="Z108" s="2"/>
    </row>
    <row r="109" spans="1:26" ht="12" customHeight="1" x14ac:dyDescent="0.3">
      <c r="A109" s="2"/>
      <c r="B109" s="2"/>
      <c r="C109" s="2"/>
      <c r="D109" s="53"/>
      <c r="E109" s="53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73"/>
      <c r="S109" s="2"/>
      <c r="T109" s="2"/>
      <c r="U109" s="2"/>
      <c r="V109" s="2"/>
      <c r="W109" s="2"/>
      <c r="X109" s="2"/>
      <c r="Y109" s="2"/>
      <c r="Z109" s="2"/>
    </row>
    <row r="110" spans="1:26" ht="12" customHeight="1" x14ac:dyDescent="0.3">
      <c r="A110" s="2"/>
      <c r="B110" s="2"/>
      <c r="C110" s="2"/>
      <c r="D110" s="53"/>
      <c r="E110" s="53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73"/>
      <c r="S110" s="2"/>
      <c r="T110" s="2"/>
      <c r="U110" s="2"/>
      <c r="V110" s="2"/>
      <c r="W110" s="2"/>
      <c r="X110" s="2"/>
      <c r="Y110" s="2"/>
      <c r="Z110" s="2"/>
    </row>
    <row r="111" spans="1:26" ht="12" customHeight="1" x14ac:dyDescent="0.3">
      <c r="A111" s="2"/>
      <c r="B111" s="2"/>
      <c r="C111" s="2"/>
      <c r="D111" s="53"/>
      <c r="E111" s="53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73"/>
      <c r="S111" s="2"/>
      <c r="T111" s="2"/>
      <c r="U111" s="2"/>
      <c r="V111" s="2"/>
      <c r="W111" s="2"/>
      <c r="X111" s="2"/>
      <c r="Y111" s="2"/>
      <c r="Z111" s="2"/>
    </row>
    <row r="112" spans="1:26" ht="12" customHeight="1" x14ac:dyDescent="0.3">
      <c r="A112" s="2"/>
      <c r="B112" s="2"/>
      <c r="C112" s="2"/>
      <c r="D112" s="53"/>
      <c r="E112" s="53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73"/>
      <c r="S112" s="2"/>
      <c r="T112" s="2"/>
      <c r="U112" s="2"/>
      <c r="V112" s="2"/>
      <c r="W112" s="2"/>
      <c r="X112" s="2"/>
      <c r="Y112" s="2"/>
      <c r="Z112" s="2"/>
    </row>
    <row r="113" spans="1:26" ht="12" customHeight="1" x14ac:dyDescent="0.3">
      <c r="A113" s="2"/>
      <c r="B113" s="2"/>
      <c r="C113" s="2"/>
      <c r="D113" s="53"/>
      <c r="E113" s="53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73"/>
      <c r="S113" s="2"/>
      <c r="T113" s="2"/>
      <c r="U113" s="2"/>
      <c r="V113" s="2"/>
      <c r="W113" s="2"/>
      <c r="X113" s="2"/>
      <c r="Y113" s="2"/>
      <c r="Z113" s="2"/>
    </row>
    <row r="114" spans="1:26" ht="12" customHeight="1" x14ac:dyDescent="0.3">
      <c r="A114" s="2"/>
      <c r="B114" s="2"/>
      <c r="C114" s="2"/>
      <c r="D114" s="53"/>
      <c r="E114" s="53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73"/>
      <c r="S114" s="2"/>
      <c r="T114" s="2"/>
      <c r="U114" s="2"/>
      <c r="V114" s="2"/>
      <c r="W114" s="2"/>
      <c r="X114" s="2"/>
      <c r="Y114" s="2"/>
      <c r="Z114" s="2"/>
    </row>
    <row r="115" spans="1:26" ht="12" customHeight="1" x14ac:dyDescent="0.3">
      <c r="A115" s="2"/>
      <c r="B115" s="2"/>
      <c r="C115" s="2"/>
      <c r="D115" s="53"/>
      <c r="E115" s="53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73"/>
      <c r="S115" s="2"/>
      <c r="T115" s="2"/>
      <c r="U115" s="2"/>
      <c r="V115" s="2"/>
      <c r="W115" s="2"/>
      <c r="X115" s="2"/>
      <c r="Y115" s="2"/>
      <c r="Z115" s="2"/>
    </row>
    <row r="116" spans="1:26" ht="12" customHeight="1" x14ac:dyDescent="0.3">
      <c r="A116" s="2"/>
      <c r="B116" s="2"/>
      <c r="C116" s="2"/>
      <c r="D116" s="53"/>
      <c r="E116" s="53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73"/>
      <c r="S116" s="2"/>
      <c r="T116" s="2"/>
      <c r="U116" s="2"/>
      <c r="V116" s="2"/>
      <c r="W116" s="2"/>
      <c r="X116" s="2"/>
      <c r="Y116" s="2"/>
      <c r="Z116" s="2"/>
    </row>
    <row r="117" spans="1:26" ht="12" customHeight="1" x14ac:dyDescent="0.3">
      <c r="A117" s="2"/>
      <c r="B117" s="2"/>
      <c r="C117" s="2"/>
      <c r="D117" s="53"/>
      <c r="E117" s="53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73"/>
      <c r="S117" s="2"/>
      <c r="T117" s="2"/>
      <c r="U117" s="2"/>
      <c r="V117" s="2"/>
      <c r="W117" s="2"/>
      <c r="X117" s="2"/>
      <c r="Y117" s="2"/>
      <c r="Z117" s="2"/>
    </row>
    <row r="118" spans="1:26" ht="12" customHeight="1" x14ac:dyDescent="0.3">
      <c r="A118" s="2"/>
      <c r="B118" s="2"/>
      <c r="C118" s="2"/>
      <c r="D118" s="53"/>
      <c r="E118" s="53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73"/>
      <c r="S118" s="2"/>
      <c r="T118" s="2"/>
      <c r="U118" s="2"/>
      <c r="V118" s="2"/>
      <c r="W118" s="2"/>
      <c r="X118" s="2"/>
      <c r="Y118" s="2"/>
      <c r="Z118" s="2"/>
    </row>
    <row r="119" spans="1:26" ht="12" customHeight="1" x14ac:dyDescent="0.3">
      <c r="A119" s="2"/>
      <c r="B119" s="2"/>
      <c r="C119" s="2"/>
      <c r="D119" s="53"/>
      <c r="E119" s="53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73"/>
      <c r="S119" s="2"/>
      <c r="T119" s="2"/>
      <c r="U119" s="2"/>
      <c r="V119" s="2"/>
      <c r="W119" s="2"/>
      <c r="X119" s="2"/>
      <c r="Y119" s="2"/>
      <c r="Z119" s="2"/>
    </row>
    <row r="120" spans="1:26" ht="12" customHeight="1" x14ac:dyDescent="0.3">
      <c r="A120" s="2"/>
      <c r="B120" s="2"/>
      <c r="C120" s="2"/>
      <c r="D120" s="53"/>
      <c r="E120" s="53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73"/>
      <c r="S120" s="2"/>
      <c r="T120" s="2"/>
      <c r="U120" s="2"/>
      <c r="V120" s="2"/>
      <c r="W120" s="2"/>
      <c r="X120" s="2"/>
      <c r="Y120" s="2"/>
      <c r="Z120" s="2"/>
    </row>
    <row r="121" spans="1:26" ht="12" customHeight="1" x14ac:dyDescent="0.3">
      <c r="A121" s="2"/>
      <c r="B121" s="2"/>
      <c r="C121" s="2"/>
      <c r="D121" s="53"/>
      <c r="E121" s="53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73"/>
      <c r="S121" s="2"/>
      <c r="T121" s="2"/>
      <c r="U121" s="2"/>
      <c r="V121" s="2"/>
      <c r="W121" s="2"/>
      <c r="X121" s="2"/>
      <c r="Y121" s="2"/>
      <c r="Z121" s="2"/>
    </row>
    <row r="122" spans="1:26" ht="12" customHeight="1" x14ac:dyDescent="0.3">
      <c r="A122" s="2"/>
      <c r="B122" s="2"/>
      <c r="C122" s="2"/>
      <c r="D122" s="53"/>
      <c r="E122" s="53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73"/>
      <c r="S122" s="2"/>
      <c r="T122" s="2"/>
      <c r="U122" s="2"/>
      <c r="V122" s="2"/>
      <c r="W122" s="2"/>
      <c r="X122" s="2"/>
      <c r="Y122" s="2"/>
      <c r="Z122" s="2"/>
    </row>
    <row r="123" spans="1:26" ht="12" customHeight="1" x14ac:dyDescent="0.3">
      <c r="A123" s="2"/>
      <c r="B123" s="2"/>
      <c r="C123" s="2"/>
      <c r="D123" s="53"/>
      <c r="E123" s="53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73"/>
      <c r="S123" s="2"/>
      <c r="T123" s="2"/>
      <c r="U123" s="2"/>
      <c r="V123" s="2"/>
      <c r="W123" s="2"/>
      <c r="X123" s="2"/>
      <c r="Y123" s="2"/>
      <c r="Z123" s="2"/>
    </row>
    <row r="124" spans="1:26" ht="12" customHeight="1" x14ac:dyDescent="0.3">
      <c r="A124" s="2"/>
      <c r="B124" s="2"/>
      <c r="C124" s="2"/>
      <c r="D124" s="53"/>
      <c r="E124" s="53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73"/>
      <c r="S124" s="2"/>
      <c r="T124" s="2"/>
      <c r="U124" s="2"/>
      <c r="V124" s="2"/>
      <c r="W124" s="2"/>
      <c r="X124" s="2"/>
      <c r="Y124" s="2"/>
      <c r="Z124" s="2"/>
    </row>
    <row r="125" spans="1:26" ht="12" customHeight="1" x14ac:dyDescent="0.3">
      <c r="A125" s="2"/>
      <c r="B125" s="2"/>
      <c r="C125" s="2"/>
      <c r="D125" s="53"/>
      <c r="E125" s="53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73"/>
      <c r="S125" s="2"/>
      <c r="T125" s="2"/>
      <c r="U125" s="2"/>
      <c r="V125" s="2"/>
      <c r="W125" s="2"/>
      <c r="X125" s="2"/>
      <c r="Y125" s="2"/>
      <c r="Z125" s="2"/>
    </row>
    <row r="126" spans="1:26" ht="12" customHeight="1" x14ac:dyDescent="0.3">
      <c r="A126" s="2"/>
      <c r="B126" s="2"/>
      <c r="C126" s="2"/>
      <c r="D126" s="53"/>
      <c r="E126" s="53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73"/>
      <c r="S126" s="2"/>
      <c r="T126" s="2"/>
      <c r="U126" s="2"/>
      <c r="V126" s="2"/>
      <c r="W126" s="2"/>
      <c r="X126" s="2"/>
      <c r="Y126" s="2"/>
      <c r="Z126" s="2"/>
    </row>
    <row r="127" spans="1:26" ht="12" customHeight="1" x14ac:dyDescent="0.3">
      <c r="A127" s="2"/>
      <c r="B127" s="2"/>
      <c r="C127" s="2"/>
      <c r="D127" s="53"/>
      <c r="E127" s="53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73"/>
      <c r="S127" s="2"/>
      <c r="T127" s="2"/>
      <c r="U127" s="2"/>
      <c r="V127" s="2"/>
      <c r="W127" s="2"/>
      <c r="X127" s="2"/>
      <c r="Y127" s="2"/>
      <c r="Z127" s="2"/>
    </row>
    <row r="128" spans="1:26" ht="12" customHeight="1" x14ac:dyDescent="0.3">
      <c r="A128" s="2"/>
      <c r="B128" s="2"/>
      <c r="C128" s="2"/>
      <c r="D128" s="53"/>
      <c r="E128" s="53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73"/>
      <c r="S128" s="2"/>
      <c r="T128" s="2"/>
      <c r="U128" s="2"/>
      <c r="V128" s="2"/>
      <c r="W128" s="2"/>
      <c r="X128" s="2"/>
      <c r="Y128" s="2"/>
      <c r="Z128" s="2"/>
    </row>
    <row r="129" spans="1:26" ht="12" customHeight="1" x14ac:dyDescent="0.3">
      <c r="A129" s="2"/>
      <c r="B129" s="2"/>
      <c r="C129" s="2"/>
      <c r="D129" s="53"/>
      <c r="E129" s="53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73"/>
      <c r="S129" s="2"/>
      <c r="T129" s="2"/>
      <c r="U129" s="2"/>
      <c r="V129" s="2"/>
      <c r="W129" s="2"/>
      <c r="X129" s="2"/>
      <c r="Y129" s="2"/>
      <c r="Z129" s="2"/>
    </row>
    <row r="130" spans="1:26" ht="12" customHeight="1" x14ac:dyDescent="0.3">
      <c r="A130" s="2"/>
      <c r="B130" s="2"/>
      <c r="C130" s="2"/>
      <c r="D130" s="53"/>
      <c r="E130" s="53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73"/>
      <c r="S130" s="2"/>
      <c r="T130" s="2"/>
      <c r="U130" s="2"/>
      <c r="V130" s="2"/>
      <c r="W130" s="2"/>
      <c r="X130" s="2"/>
      <c r="Y130" s="2"/>
      <c r="Z130" s="2"/>
    </row>
    <row r="131" spans="1:26" ht="12" customHeight="1" x14ac:dyDescent="0.3">
      <c r="A131" s="2"/>
      <c r="B131" s="2"/>
      <c r="C131" s="2"/>
      <c r="D131" s="53"/>
      <c r="E131" s="53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73"/>
      <c r="S131" s="2"/>
      <c r="T131" s="2"/>
      <c r="U131" s="2"/>
      <c r="V131" s="2"/>
      <c r="W131" s="2"/>
      <c r="X131" s="2"/>
      <c r="Y131" s="2"/>
      <c r="Z131" s="2"/>
    </row>
    <row r="132" spans="1:26" ht="12" customHeight="1" x14ac:dyDescent="0.3">
      <c r="A132" s="2"/>
      <c r="B132" s="2"/>
      <c r="C132" s="2"/>
      <c r="D132" s="53"/>
      <c r="E132" s="53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73"/>
      <c r="S132" s="2"/>
      <c r="T132" s="2"/>
      <c r="U132" s="2"/>
      <c r="V132" s="2"/>
      <c r="W132" s="2"/>
      <c r="X132" s="2"/>
      <c r="Y132" s="2"/>
      <c r="Z132" s="2"/>
    </row>
    <row r="133" spans="1:26" ht="12" customHeight="1" x14ac:dyDescent="0.3">
      <c r="A133" s="2"/>
      <c r="B133" s="2"/>
      <c r="C133" s="2"/>
      <c r="D133" s="53"/>
      <c r="E133" s="53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73"/>
      <c r="S133" s="2"/>
      <c r="T133" s="2"/>
      <c r="U133" s="2"/>
      <c r="V133" s="2"/>
      <c r="W133" s="2"/>
      <c r="X133" s="2"/>
      <c r="Y133" s="2"/>
      <c r="Z133" s="2"/>
    </row>
    <row r="134" spans="1:26" ht="12" customHeight="1" x14ac:dyDescent="0.3">
      <c r="A134" s="2"/>
      <c r="B134" s="2"/>
      <c r="C134" s="2"/>
      <c r="D134" s="53"/>
      <c r="E134" s="53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73"/>
      <c r="S134" s="2"/>
      <c r="T134" s="2"/>
      <c r="U134" s="2"/>
      <c r="V134" s="2"/>
      <c r="W134" s="2"/>
      <c r="X134" s="2"/>
      <c r="Y134" s="2"/>
      <c r="Z134" s="2"/>
    </row>
    <row r="135" spans="1:26" ht="12" customHeight="1" x14ac:dyDescent="0.3">
      <c r="A135" s="2"/>
      <c r="B135" s="2"/>
      <c r="C135" s="2"/>
      <c r="D135" s="53"/>
      <c r="E135" s="53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73"/>
      <c r="S135" s="2"/>
      <c r="T135" s="2"/>
      <c r="U135" s="2"/>
      <c r="V135" s="2"/>
      <c r="W135" s="2"/>
      <c r="X135" s="2"/>
      <c r="Y135" s="2"/>
      <c r="Z135" s="2"/>
    </row>
    <row r="136" spans="1:26" ht="12" customHeight="1" x14ac:dyDescent="0.3">
      <c r="A136" s="2"/>
      <c r="B136" s="2"/>
      <c r="C136" s="2"/>
      <c r="D136" s="53"/>
      <c r="E136" s="53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73"/>
      <c r="S136" s="2"/>
      <c r="T136" s="2"/>
      <c r="U136" s="2"/>
      <c r="V136" s="2"/>
      <c r="W136" s="2"/>
      <c r="X136" s="2"/>
      <c r="Y136" s="2"/>
      <c r="Z136" s="2"/>
    </row>
    <row r="137" spans="1:26" ht="12" customHeight="1" x14ac:dyDescent="0.3">
      <c r="A137" s="2"/>
      <c r="B137" s="2"/>
      <c r="C137" s="2"/>
      <c r="D137" s="53"/>
      <c r="E137" s="53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73"/>
      <c r="S137" s="2"/>
      <c r="T137" s="2"/>
      <c r="U137" s="2"/>
      <c r="V137" s="2"/>
      <c r="W137" s="2"/>
      <c r="X137" s="2"/>
      <c r="Y137" s="2"/>
      <c r="Z137" s="2"/>
    </row>
    <row r="138" spans="1:26" ht="12" customHeight="1" x14ac:dyDescent="0.3">
      <c r="A138" s="2"/>
      <c r="B138" s="2"/>
      <c r="C138" s="2"/>
      <c r="D138" s="53"/>
      <c r="E138" s="53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73"/>
      <c r="S138" s="2"/>
      <c r="T138" s="2"/>
      <c r="U138" s="2"/>
      <c r="V138" s="2"/>
      <c r="W138" s="2"/>
      <c r="X138" s="2"/>
      <c r="Y138" s="2"/>
      <c r="Z138" s="2"/>
    </row>
    <row r="139" spans="1:26" ht="12" customHeight="1" x14ac:dyDescent="0.3">
      <c r="A139" s="2"/>
      <c r="B139" s="2"/>
      <c r="C139" s="2"/>
      <c r="D139" s="53"/>
      <c r="E139" s="53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73"/>
      <c r="S139" s="2"/>
      <c r="T139" s="2"/>
      <c r="U139" s="2"/>
      <c r="V139" s="2"/>
      <c r="W139" s="2"/>
      <c r="X139" s="2"/>
      <c r="Y139" s="2"/>
      <c r="Z139" s="2"/>
    </row>
    <row r="140" spans="1:26" ht="12" customHeight="1" x14ac:dyDescent="0.3">
      <c r="A140" s="2"/>
      <c r="B140" s="2"/>
      <c r="C140" s="2"/>
      <c r="D140" s="53"/>
      <c r="E140" s="53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73"/>
      <c r="S140" s="2"/>
      <c r="T140" s="2"/>
      <c r="U140" s="2"/>
      <c r="V140" s="2"/>
      <c r="W140" s="2"/>
      <c r="X140" s="2"/>
      <c r="Y140" s="2"/>
      <c r="Z140" s="2"/>
    </row>
    <row r="141" spans="1:26" ht="12" customHeight="1" x14ac:dyDescent="0.3">
      <c r="A141" s="2"/>
      <c r="B141" s="2"/>
      <c r="C141" s="2"/>
      <c r="D141" s="53"/>
      <c r="E141" s="53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73"/>
      <c r="S141" s="2"/>
      <c r="T141" s="2"/>
      <c r="U141" s="2"/>
      <c r="V141" s="2"/>
      <c r="W141" s="2"/>
      <c r="X141" s="2"/>
      <c r="Y141" s="2"/>
      <c r="Z141" s="2"/>
    </row>
    <row r="142" spans="1:26" ht="12" customHeight="1" x14ac:dyDescent="0.3">
      <c r="A142" s="2"/>
      <c r="B142" s="2"/>
      <c r="C142" s="2"/>
      <c r="D142" s="53"/>
      <c r="E142" s="53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73"/>
      <c r="S142" s="2"/>
      <c r="T142" s="2"/>
      <c r="U142" s="2"/>
      <c r="V142" s="2"/>
      <c r="W142" s="2"/>
      <c r="X142" s="2"/>
      <c r="Y142" s="2"/>
      <c r="Z142" s="2"/>
    </row>
    <row r="143" spans="1:26" ht="12" customHeight="1" x14ac:dyDescent="0.3">
      <c r="A143" s="2"/>
      <c r="B143" s="2"/>
      <c r="C143" s="2"/>
      <c r="D143" s="53"/>
      <c r="E143" s="53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73"/>
      <c r="S143" s="2"/>
      <c r="T143" s="2"/>
      <c r="U143" s="2"/>
      <c r="V143" s="2"/>
      <c r="W143" s="2"/>
      <c r="X143" s="2"/>
      <c r="Y143" s="2"/>
      <c r="Z143" s="2"/>
    </row>
    <row r="144" spans="1:26" ht="12" customHeight="1" x14ac:dyDescent="0.3">
      <c r="A144" s="2"/>
      <c r="B144" s="2"/>
      <c r="C144" s="2"/>
      <c r="D144" s="53"/>
      <c r="E144" s="53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73"/>
      <c r="S144" s="2"/>
      <c r="T144" s="2"/>
      <c r="U144" s="2"/>
      <c r="V144" s="2"/>
      <c r="W144" s="2"/>
      <c r="X144" s="2"/>
      <c r="Y144" s="2"/>
      <c r="Z144" s="2"/>
    </row>
    <row r="145" spans="1:26" ht="12" customHeight="1" x14ac:dyDescent="0.3">
      <c r="A145" s="2"/>
      <c r="B145" s="2"/>
      <c r="C145" s="2"/>
      <c r="D145" s="53"/>
      <c r="E145" s="53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73"/>
      <c r="S145" s="2"/>
      <c r="T145" s="2"/>
      <c r="U145" s="2"/>
      <c r="V145" s="2"/>
      <c r="W145" s="2"/>
      <c r="X145" s="2"/>
      <c r="Y145" s="2"/>
      <c r="Z145" s="2"/>
    </row>
    <row r="146" spans="1:26" ht="12" customHeight="1" x14ac:dyDescent="0.3">
      <c r="A146" s="2"/>
      <c r="B146" s="2"/>
      <c r="C146" s="2"/>
      <c r="D146" s="53"/>
      <c r="E146" s="53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73"/>
      <c r="S146" s="2"/>
      <c r="T146" s="2"/>
      <c r="U146" s="2"/>
      <c r="V146" s="2"/>
      <c r="W146" s="2"/>
      <c r="X146" s="2"/>
      <c r="Y146" s="2"/>
      <c r="Z146" s="2"/>
    </row>
    <row r="147" spans="1:26" ht="12" customHeight="1" x14ac:dyDescent="0.3">
      <c r="A147" s="2"/>
      <c r="B147" s="2"/>
      <c r="C147" s="2"/>
      <c r="D147" s="53"/>
      <c r="E147" s="53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73"/>
      <c r="S147" s="2"/>
      <c r="T147" s="2"/>
      <c r="U147" s="2"/>
      <c r="V147" s="2"/>
      <c r="W147" s="2"/>
      <c r="X147" s="2"/>
      <c r="Y147" s="2"/>
      <c r="Z147" s="2"/>
    </row>
    <row r="148" spans="1:26" ht="12" customHeight="1" x14ac:dyDescent="0.3">
      <c r="A148" s="2"/>
      <c r="B148" s="2"/>
      <c r="C148" s="2"/>
      <c r="D148" s="53"/>
      <c r="E148" s="53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73"/>
      <c r="S148" s="2"/>
      <c r="T148" s="2"/>
      <c r="U148" s="2"/>
      <c r="V148" s="2"/>
      <c r="W148" s="2"/>
      <c r="X148" s="2"/>
      <c r="Y148" s="2"/>
      <c r="Z148" s="2"/>
    </row>
    <row r="149" spans="1:26" ht="12" customHeight="1" x14ac:dyDescent="0.3">
      <c r="A149" s="2"/>
      <c r="B149" s="2"/>
      <c r="C149" s="2"/>
      <c r="D149" s="53"/>
      <c r="E149" s="53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73"/>
      <c r="S149" s="2"/>
      <c r="T149" s="2"/>
      <c r="U149" s="2"/>
      <c r="V149" s="2"/>
      <c r="W149" s="2"/>
      <c r="X149" s="2"/>
      <c r="Y149" s="2"/>
      <c r="Z149" s="2"/>
    </row>
    <row r="150" spans="1:26" ht="12" customHeight="1" x14ac:dyDescent="0.3">
      <c r="A150" s="2"/>
      <c r="B150" s="2"/>
      <c r="C150" s="2"/>
      <c r="D150" s="53"/>
      <c r="E150" s="53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73"/>
      <c r="S150" s="2"/>
      <c r="T150" s="2"/>
      <c r="U150" s="2"/>
      <c r="V150" s="2"/>
      <c r="W150" s="2"/>
      <c r="X150" s="2"/>
      <c r="Y150" s="2"/>
      <c r="Z150" s="2"/>
    </row>
    <row r="151" spans="1:26" ht="12" customHeight="1" x14ac:dyDescent="0.3">
      <c r="A151" s="2"/>
      <c r="B151" s="2"/>
      <c r="C151" s="2"/>
      <c r="D151" s="53"/>
      <c r="E151" s="53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73"/>
      <c r="S151" s="2"/>
      <c r="T151" s="2"/>
      <c r="U151" s="2"/>
      <c r="V151" s="2"/>
      <c r="W151" s="2"/>
      <c r="X151" s="2"/>
      <c r="Y151" s="2"/>
      <c r="Z151" s="2"/>
    </row>
    <row r="152" spans="1:26" ht="12" customHeight="1" x14ac:dyDescent="0.3">
      <c r="A152" s="2"/>
      <c r="B152" s="2"/>
      <c r="C152" s="2"/>
      <c r="D152" s="53"/>
      <c r="E152" s="53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73"/>
      <c r="S152" s="2"/>
      <c r="T152" s="2"/>
      <c r="U152" s="2"/>
      <c r="V152" s="2"/>
      <c r="W152" s="2"/>
      <c r="X152" s="2"/>
      <c r="Y152" s="2"/>
      <c r="Z152" s="2"/>
    </row>
    <row r="153" spans="1:26" ht="12" customHeight="1" x14ac:dyDescent="0.3">
      <c r="A153" s="2"/>
      <c r="B153" s="2"/>
      <c r="C153" s="2"/>
      <c r="D153" s="53"/>
      <c r="E153" s="53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73"/>
      <c r="S153" s="2"/>
      <c r="T153" s="2"/>
      <c r="U153" s="2"/>
      <c r="V153" s="2"/>
      <c r="W153" s="2"/>
      <c r="X153" s="2"/>
      <c r="Y153" s="2"/>
      <c r="Z153" s="2"/>
    </row>
    <row r="154" spans="1:26" ht="12" customHeight="1" x14ac:dyDescent="0.3">
      <c r="A154" s="2"/>
      <c r="B154" s="2"/>
      <c r="C154" s="2"/>
      <c r="D154" s="53"/>
      <c r="E154" s="53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73"/>
      <c r="S154" s="2"/>
      <c r="T154" s="2"/>
      <c r="U154" s="2"/>
      <c r="V154" s="2"/>
      <c r="W154" s="2"/>
      <c r="X154" s="2"/>
      <c r="Y154" s="2"/>
      <c r="Z154" s="2"/>
    </row>
    <row r="155" spans="1:26" ht="12" customHeight="1" x14ac:dyDescent="0.3">
      <c r="A155" s="2"/>
      <c r="B155" s="2"/>
      <c r="C155" s="2"/>
      <c r="D155" s="53"/>
      <c r="E155" s="53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73"/>
      <c r="S155" s="2"/>
      <c r="T155" s="2"/>
      <c r="U155" s="2"/>
      <c r="V155" s="2"/>
      <c r="W155" s="2"/>
      <c r="X155" s="2"/>
      <c r="Y155" s="2"/>
      <c r="Z155" s="2"/>
    </row>
    <row r="156" spans="1:26" ht="12" customHeight="1" x14ac:dyDescent="0.3">
      <c r="A156" s="2"/>
      <c r="B156" s="2"/>
      <c r="C156" s="2"/>
      <c r="D156" s="53"/>
      <c r="E156" s="53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73"/>
      <c r="S156" s="2"/>
      <c r="T156" s="2"/>
      <c r="U156" s="2"/>
      <c r="V156" s="2"/>
      <c r="W156" s="2"/>
      <c r="X156" s="2"/>
      <c r="Y156" s="2"/>
      <c r="Z156" s="2"/>
    </row>
    <row r="157" spans="1:26" ht="12" customHeight="1" x14ac:dyDescent="0.3">
      <c r="A157" s="2"/>
      <c r="B157" s="2"/>
      <c r="C157" s="2"/>
      <c r="D157" s="53"/>
      <c r="E157" s="53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73"/>
      <c r="S157" s="2"/>
      <c r="T157" s="2"/>
      <c r="U157" s="2"/>
      <c r="V157" s="2"/>
      <c r="W157" s="2"/>
      <c r="X157" s="2"/>
      <c r="Y157" s="2"/>
      <c r="Z157" s="2"/>
    </row>
    <row r="158" spans="1:26" ht="12" customHeight="1" x14ac:dyDescent="0.3">
      <c r="A158" s="2"/>
      <c r="B158" s="2"/>
      <c r="C158" s="2"/>
      <c r="D158" s="53"/>
      <c r="E158" s="53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73"/>
      <c r="S158" s="2"/>
      <c r="T158" s="2"/>
      <c r="U158" s="2"/>
      <c r="V158" s="2"/>
      <c r="W158" s="2"/>
      <c r="X158" s="2"/>
      <c r="Y158" s="2"/>
      <c r="Z158" s="2"/>
    </row>
    <row r="159" spans="1:26" ht="12" customHeight="1" x14ac:dyDescent="0.3">
      <c r="A159" s="2"/>
      <c r="B159" s="2"/>
      <c r="C159" s="2"/>
      <c r="D159" s="53"/>
      <c r="E159" s="53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73"/>
      <c r="S159" s="2"/>
      <c r="T159" s="2"/>
      <c r="U159" s="2"/>
      <c r="V159" s="2"/>
      <c r="W159" s="2"/>
      <c r="X159" s="2"/>
      <c r="Y159" s="2"/>
      <c r="Z159" s="2"/>
    </row>
    <row r="160" spans="1:26" ht="12" customHeight="1" x14ac:dyDescent="0.3">
      <c r="A160" s="2"/>
      <c r="B160" s="2"/>
      <c r="C160" s="2"/>
      <c r="D160" s="53"/>
      <c r="E160" s="53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73"/>
      <c r="S160" s="2"/>
      <c r="T160" s="2"/>
      <c r="U160" s="2"/>
      <c r="V160" s="2"/>
      <c r="W160" s="2"/>
      <c r="X160" s="2"/>
      <c r="Y160" s="2"/>
      <c r="Z160" s="2"/>
    </row>
    <row r="161" spans="1:26" ht="12" customHeight="1" x14ac:dyDescent="0.3">
      <c r="A161" s="2"/>
      <c r="B161" s="2"/>
      <c r="C161" s="2"/>
      <c r="D161" s="53"/>
      <c r="E161" s="53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73"/>
      <c r="S161" s="2"/>
      <c r="T161" s="2"/>
      <c r="U161" s="2"/>
      <c r="V161" s="2"/>
      <c r="W161" s="2"/>
      <c r="X161" s="2"/>
      <c r="Y161" s="2"/>
      <c r="Z161" s="2"/>
    </row>
    <row r="162" spans="1:26" ht="12" customHeight="1" x14ac:dyDescent="0.3">
      <c r="A162" s="2"/>
      <c r="B162" s="2"/>
      <c r="C162" s="2"/>
      <c r="D162" s="53"/>
      <c r="E162" s="53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73"/>
      <c r="S162" s="2"/>
      <c r="T162" s="2"/>
      <c r="U162" s="2"/>
      <c r="V162" s="2"/>
      <c r="W162" s="2"/>
      <c r="X162" s="2"/>
      <c r="Y162" s="2"/>
      <c r="Z162" s="2"/>
    </row>
    <row r="163" spans="1:26" ht="12" customHeight="1" x14ac:dyDescent="0.3">
      <c r="A163" s="2"/>
      <c r="B163" s="2"/>
      <c r="C163" s="2"/>
      <c r="D163" s="53"/>
      <c r="E163" s="53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73"/>
      <c r="S163" s="2"/>
      <c r="T163" s="2"/>
      <c r="U163" s="2"/>
      <c r="V163" s="2"/>
      <c r="W163" s="2"/>
      <c r="X163" s="2"/>
      <c r="Y163" s="2"/>
      <c r="Z163" s="2"/>
    </row>
    <row r="164" spans="1:26" ht="12" customHeight="1" x14ac:dyDescent="0.3">
      <c r="A164" s="2"/>
      <c r="B164" s="2"/>
      <c r="C164" s="2"/>
      <c r="D164" s="53"/>
      <c r="E164" s="53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73"/>
      <c r="S164" s="2"/>
      <c r="T164" s="2"/>
      <c r="U164" s="2"/>
      <c r="V164" s="2"/>
      <c r="W164" s="2"/>
      <c r="X164" s="2"/>
      <c r="Y164" s="2"/>
      <c r="Z164" s="2"/>
    </row>
    <row r="165" spans="1:26" ht="12" customHeight="1" x14ac:dyDescent="0.3">
      <c r="A165" s="2"/>
      <c r="B165" s="2"/>
      <c r="C165" s="2"/>
      <c r="D165" s="53"/>
      <c r="E165" s="53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73"/>
      <c r="S165" s="2"/>
      <c r="T165" s="2"/>
      <c r="U165" s="2"/>
      <c r="V165" s="2"/>
      <c r="W165" s="2"/>
      <c r="X165" s="2"/>
      <c r="Y165" s="2"/>
      <c r="Z165" s="2"/>
    </row>
    <row r="166" spans="1:26" ht="12" customHeight="1" x14ac:dyDescent="0.3">
      <c r="A166" s="2"/>
      <c r="B166" s="2"/>
      <c r="C166" s="2"/>
      <c r="D166" s="53"/>
      <c r="E166" s="53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73"/>
      <c r="S166" s="2"/>
      <c r="T166" s="2"/>
      <c r="U166" s="2"/>
      <c r="V166" s="2"/>
      <c r="W166" s="2"/>
      <c r="X166" s="2"/>
      <c r="Y166" s="2"/>
      <c r="Z166" s="2"/>
    </row>
    <row r="167" spans="1:26" ht="12" customHeight="1" x14ac:dyDescent="0.3">
      <c r="A167" s="2"/>
      <c r="B167" s="2"/>
      <c r="C167" s="2"/>
      <c r="D167" s="53"/>
      <c r="E167" s="53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73"/>
      <c r="S167" s="2"/>
      <c r="T167" s="2"/>
      <c r="U167" s="2"/>
      <c r="V167" s="2"/>
      <c r="W167" s="2"/>
      <c r="X167" s="2"/>
      <c r="Y167" s="2"/>
      <c r="Z167" s="2"/>
    </row>
    <row r="168" spans="1:26" ht="12" customHeight="1" x14ac:dyDescent="0.3">
      <c r="A168" s="2"/>
      <c r="B168" s="2"/>
      <c r="C168" s="2"/>
      <c r="D168" s="53"/>
      <c r="E168" s="53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73"/>
      <c r="S168" s="2"/>
      <c r="T168" s="2"/>
      <c r="U168" s="2"/>
      <c r="V168" s="2"/>
      <c r="W168" s="2"/>
      <c r="X168" s="2"/>
      <c r="Y168" s="2"/>
      <c r="Z168" s="2"/>
    </row>
    <row r="169" spans="1:26" ht="12" customHeight="1" x14ac:dyDescent="0.3">
      <c r="A169" s="2"/>
      <c r="B169" s="2"/>
      <c r="C169" s="2"/>
      <c r="D169" s="53"/>
      <c r="E169" s="53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73"/>
      <c r="S169" s="2"/>
      <c r="T169" s="2"/>
      <c r="U169" s="2"/>
      <c r="V169" s="2"/>
      <c r="W169" s="2"/>
      <c r="X169" s="2"/>
      <c r="Y169" s="2"/>
      <c r="Z169" s="2"/>
    </row>
    <row r="170" spans="1:26" ht="12" customHeight="1" x14ac:dyDescent="0.3">
      <c r="A170" s="2"/>
      <c r="B170" s="2"/>
      <c r="C170" s="2"/>
      <c r="D170" s="53"/>
      <c r="E170" s="53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73"/>
      <c r="S170" s="2"/>
      <c r="T170" s="2"/>
      <c r="U170" s="2"/>
      <c r="V170" s="2"/>
      <c r="W170" s="2"/>
      <c r="X170" s="2"/>
      <c r="Y170" s="2"/>
      <c r="Z170" s="2"/>
    </row>
    <row r="171" spans="1:26" ht="12" customHeight="1" x14ac:dyDescent="0.3">
      <c r="A171" s="2"/>
      <c r="B171" s="2"/>
      <c r="C171" s="2"/>
      <c r="D171" s="53"/>
      <c r="E171" s="53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73"/>
      <c r="S171" s="2"/>
      <c r="T171" s="2"/>
      <c r="U171" s="2"/>
      <c r="V171" s="2"/>
      <c r="W171" s="2"/>
      <c r="X171" s="2"/>
      <c r="Y171" s="2"/>
      <c r="Z171" s="2"/>
    </row>
    <row r="172" spans="1:26" ht="12" customHeight="1" x14ac:dyDescent="0.3">
      <c r="A172" s="2"/>
      <c r="B172" s="2"/>
      <c r="C172" s="2"/>
      <c r="D172" s="53"/>
      <c r="E172" s="53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73"/>
      <c r="S172" s="2"/>
      <c r="T172" s="2"/>
      <c r="U172" s="2"/>
      <c r="V172" s="2"/>
      <c r="W172" s="2"/>
      <c r="X172" s="2"/>
      <c r="Y172" s="2"/>
      <c r="Z172" s="2"/>
    </row>
    <row r="173" spans="1:26" ht="12" customHeight="1" x14ac:dyDescent="0.3">
      <c r="A173" s="2"/>
      <c r="B173" s="2"/>
      <c r="C173" s="2"/>
      <c r="D173" s="53"/>
      <c r="E173" s="53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73"/>
      <c r="S173" s="2"/>
      <c r="T173" s="2"/>
      <c r="U173" s="2"/>
      <c r="V173" s="2"/>
      <c r="W173" s="2"/>
      <c r="X173" s="2"/>
      <c r="Y173" s="2"/>
      <c r="Z173" s="2"/>
    </row>
    <row r="174" spans="1:26" ht="12" customHeight="1" x14ac:dyDescent="0.3">
      <c r="A174" s="2"/>
      <c r="B174" s="2"/>
      <c r="C174" s="2"/>
      <c r="D174" s="53"/>
      <c r="E174" s="53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73"/>
      <c r="S174" s="2"/>
      <c r="T174" s="2"/>
      <c r="U174" s="2"/>
      <c r="V174" s="2"/>
      <c r="W174" s="2"/>
      <c r="X174" s="2"/>
      <c r="Y174" s="2"/>
      <c r="Z174" s="2"/>
    </row>
    <row r="175" spans="1:26" ht="12" customHeight="1" x14ac:dyDescent="0.3">
      <c r="A175" s="2"/>
      <c r="B175" s="2"/>
      <c r="C175" s="2"/>
      <c r="D175" s="53"/>
      <c r="E175" s="53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73"/>
      <c r="S175" s="2"/>
      <c r="T175" s="2"/>
      <c r="U175" s="2"/>
      <c r="V175" s="2"/>
      <c r="W175" s="2"/>
      <c r="X175" s="2"/>
      <c r="Y175" s="2"/>
      <c r="Z175" s="2"/>
    </row>
    <row r="176" spans="1:26" ht="12" customHeight="1" x14ac:dyDescent="0.3">
      <c r="A176" s="2"/>
      <c r="B176" s="2"/>
      <c r="C176" s="2"/>
      <c r="D176" s="53"/>
      <c r="E176" s="53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73"/>
      <c r="S176" s="2"/>
      <c r="T176" s="2"/>
      <c r="U176" s="2"/>
      <c r="V176" s="2"/>
      <c r="W176" s="2"/>
      <c r="X176" s="2"/>
      <c r="Y176" s="2"/>
      <c r="Z176" s="2"/>
    </row>
    <row r="177" spans="1:26" ht="12" customHeight="1" x14ac:dyDescent="0.3">
      <c r="A177" s="2"/>
      <c r="B177" s="2"/>
      <c r="C177" s="2"/>
      <c r="D177" s="53"/>
      <c r="E177" s="53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73"/>
      <c r="S177" s="2"/>
      <c r="T177" s="2"/>
      <c r="U177" s="2"/>
      <c r="V177" s="2"/>
      <c r="W177" s="2"/>
      <c r="X177" s="2"/>
      <c r="Y177" s="2"/>
      <c r="Z177" s="2"/>
    </row>
    <row r="178" spans="1:26" ht="12" customHeight="1" x14ac:dyDescent="0.3">
      <c r="A178" s="2"/>
      <c r="B178" s="2"/>
      <c r="C178" s="2"/>
      <c r="D178" s="53"/>
      <c r="E178" s="53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73"/>
      <c r="S178" s="2"/>
      <c r="T178" s="2"/>
      <c r="U178" s="2"/>
      <c r="V178" s="2"/>
      <c r="W178" s="2"/>
      <c r="X178" s="2"/>
      <c r="Y178" s="2"/>
      <c r="Z178" s="2"/>
    </row>
    <row r="179" spans="1:26" ht="12" customHeight="1" x14ac:dyDescent="0.3">
      <c r="A179" s="2"/>
      <c r="B179" s="2"/>
      <c r="C179" s="2"/>
      <c r="D179" s="53"/>
      <c r="E179" s="53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73"/>
      <c r="S179" s="2"/>
      <c r="T179" s="2"/>
      <c r="U179" s="2"/>
      <c r="V179" s="2"/>
      <c r="W179" s="2"/>
      <c r="X179" s="2"/>
      <c r="Y179" s="2"/>
      <c r="Z179" s="2"/>
    </row>
    <row r="180" spans="1:26" ht="12" customHeight="1" x14ac:dyDescent="0.3">
      <c r="A180" s="2"/>
      <c r="B180" s="2"/>
      <c r="C180" s="2"/>
      <c r="D180" s="53"/>
      <c r="E180" s="53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73"/>
      <c r="S180" s="2"/>
      <c r="T180" s="2"/>
      <c r="U180" s="2"/>
      <c r="V180" s="2"/>
      <c r="W180" s="2"/>
      <c r="X180" s="2"/>
      <c r="Y180" s="2"/>
      <c r="Z180" s="2"/>
    </row>
    <row r="181" spans="1:26" ht="12" customHeight="1" x14ac:dyDescent="0.3">
      <c r="A181" s="2"/>
      <c r="B181" s="2"/>
      <c r="C181" s="2"/>
      <c r="D181" s="53"/>
      <c r="E181" s="53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73"/>
      <c r="S181" s="2"/>
      <c r="T181" s="2"/>
      <c r="U181" s="2"/>
      <c r="V181" s="2"/>
      <c r="W181" s="2"/>
      <c r="X181" s="2"/>
      <c r="Y181" s="2"/>
      <c r="Z181" s="2"/>
    </row>
    <row r="182" spans="1:26" ht="12" customHeight="1" x14ac:dyDescent="0.3">
      <c r="A182" s="2"/>
      <c r="B182" s="2"/>
      <c r="C182" s="2"/>
      <c r="D182" s="53"/>
      <c r="E182" s="53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73"/>
      <c r="S182" s="2"/>
      <c r="T182" s="2"/>
      <c r="U182" s="2"/>
      <c r="V182" s="2"/>
      <c r="W182" s="2"/>
      <c r="X182" s="2"/>
      <c r="Y182" s="2"/>
      <c r="Z182" s="2"/>
    </row>
    <row r="183" spans="1:26" ht="12" customHeight="1" x14ac:dyDescent="0.3">
      <c r="A183" s="2"/>
      <c r="B183" s="2"/>
      <c r="C183" s="2"/>
      <c r="D183" s="53"/>
      <c r="E183" s="53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73"/>
      <c r="S183" s="2"/>
      <c r="T183" s="2"/>
      <c r="U183" s="2"/>
      <c r="V183" s="2"/>
      <c r="W183" s="2"/>
      <c r="X183" s="2"/>
      <c r="Y183" s="2"/>
      <c r="Z183" s="2"/>
    </row>
    <row r="184" spans="1:26" ht="12" customHeight="1" x14ac:dyDescent="0.3">
      <c r="A184" s="2"/>
      <c r="B184" s="2"/>
      <c r="C184" s="2"/>
      <c r="D184" s="53"/>
      <c r="E184" s="53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73"/>
      <c r="S184" s="2"/>
      <c r="T184" s="2"/>
      <c r="U184" s="2"/>
      <c r="V184" s="2"/>
      <c r="W184" s="2"/>
      <c r="X184" s="2"/>
      <c r="Y184" s="2"/>
      <c r="Z184" s="2"/>
    </row>
    <row r="185" spans="1:26" ht="12" customHeight="1" x14ac:dyDescent="0.3">
      <c r="A185" s="2"/>
      <c r="B185" s="2"/>
      <c r="C185" s="2"/>
      <c r="D185" s="53"/>
      <c r="E185" s="53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73"/>
      <c r="S185" s="2"/>
      <c r="T185" s="2"/>
      <c r="U185" s="2"/>
      <c r="V185" s="2"/>
      <c r="W185" s="2"/>
      <c r="X185" s="2"/>
      <c r="Y185" s="2"/>
      <c r="Z185" s="2"/>
    </row>
    <row r="186" spans="1:26" ht="12" customHeight="1" x14ac:dyDescent="0.3">
      <c r="A186" s="2"/>
      <c r="B186" s="2"/>
      <c r="C186" s="2"/>
      <c r="D186" s="53"/>
      <c r="E186" s="53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73"/>
      <c r="S186" s="2"/>
      <c r="T186" s="2"/>
      <c r="U186" s="2"/>
      <c r="V186" s="2"/>
      <c r="W186" s="2"/>
      <c r="X186" s="2"/>
      <c r="Y186" s="2"/>
      <c r="Z186" s="2"/>
    </row>
    <row r="187" spans="1:26" ht="12" customHeight="1" x14ac:dyDescent="0.3">
      <c r="A187" s="2"/>
      <c r="B187" s="2"/>
      <c r="C187" s="2"/>
      <c r="D187" s="53"/>
      <c r="E187" s="53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73"/>
      <c r="S187" s="2"/>
      <c r="T187" s="2"/>
      <c r="U187" s="2"/>
      <c r="V187" s="2"/>
      <c r="W187" s="2"/>
      <c r="X187" s="2"/>
      <c r="Y187" s="2"/>
      <c r="Z187" s="2"/>
    </row>
    <row r="188" spans="1:26" ht="12" customHeight="1" x14ac:dyDescent="0.3">
      <c r="A188" s="2"/>
      <c r="B188" s="2"/>
      <c r="C188" s="2"/>
      <c r="D188" s="53"/>
      <c r="E188" s="53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73"/>
      <c r="S188" s="2"/>
      <c r="T188" s="2"/>
      <c r="U188" s="2"/>
      <c r="V188" s="2"/>
      <c r="W188" s="2"/>
      <c r="X188" s="2"/>
      <c r="Y188" s="2"/>
      <c r="Z188" s="2"/>
    </row>
    <row r="189" spans="1:26" ht="12" customHeight="1" x14ac:dyDescent="0.3">
      <c r="A189" s="2"/>
      <c r="B189" s="2"/>
      <c r="C189" s="2"/>
      <c r="D189" s="53"/>
      <c r="E189" s="53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73"/>
      <c r="S189" s="2"/>
      <c r="T189" s="2"/>
      <c r="U189" s="2"/>
      <c r="V189" s="2"/>
      <c r="W189" s="2"/>
      <c r="X189" s="2"/>
      <c r="Y189" s="2"/>
      <c r="Z189" s="2"/>
    </row>
    <row r="190" spans="1:26" ht="12" customHeight="1" x14ac:dyDescent="0.3">
      <c r="A190" s="2"/>
      <c r="B190" s="2"/>
      <c r="C190" s="2"/>
      <c r="D190" s="53"/>
      <c r="E190" s="53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73"/>
      <c r="S190" s="2"/>
      <c r="T190" s="2"/>
      <c r="U190" s="2"/>
      <c r="V190" s="2"/>
      <c r="W190" s="2"/>
      <c r="X190" s="2"/>
      <c r="Y190" s="2"/>
      <c r="Z190" s="2"/>
    </row>
    <row r="191" spans="1:26" ht="12" customHeight="1" x14ac:dyDescent="0.3">
      <c r="A191" s="2"/>
      <c r="B191" s="2"/>
      <c r="C191" s="2"/>
      <c r="D191" s="53"/>
      <c r="E191" s="53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73"/>
      <c r="S191" s="2"/>
      <c r="T191" s="2"/>
      <c r="U191" s="2"/>
      <c r="V191" s="2"/>
      <c r="W191" s="2"/>
      <c r="X191" s="2"/>
      <c r="Y191" s="2"/>
      <c r="Z191" s="2"/>
    </row>
    <row r="192" spans="1:26" ht="12" customHeight="1" x14ac:dyDescent="0.3">
      <c r="A192" s="2"/>
      <c r="B192" s="2"/>
      <c r="C192" s="2"/>
      <c r="D192" s="53"/>
      <c r="E192" s="53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73"/>
      <c r="S192" s="2"/>
      <c r="T192" s="2"/>
      <c r="U192" s="2"/>
      <c r="V192" s="2"/>
      <c r="W192" s="2"/>
      <c r="X192" s="2"/>
      <c r="Y192" s="2"/>
      <c r="Z192" s="2"/>
    </row>
    <row r="193" spans="1:26" ht="12" customHeight="1" x14ac:dyDescent="0.3">
      <c r="A193" s="2"/>
      <c r="B193" s="2"/>
      <c r="C193" s="2"/>
      <c r="D193" s="53"/>
      <c r="E193" s="53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73"/>
      <c r="S193" s="2"/>
      <c r="T193" s="2"/>
      <c r="U193" s="2"/>
      <c r="V193" s="2"/>
      <c r="W193" s="2"/>
      <c r="X193" s="2"/>
      <c r="Y193" s="2"/>
      <c r="Z193" s="2"/>
    </row>
    <row r="194" spans="1:26" ht="12" customHeight="1" x14ac:dyDescent="0.3">
      <c r="A194" s="2"/>
      <c r="B194" s="2"/>
      <c r="C194" s="2"/>
      <c r="D194" s="53"/>
      <c r="E194" s="53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73"/>
      <c r="S194" s="2"/>
      <c r="T194" s="2"/>
      <c r="U194" s="2"/>
      <c r="V194" s="2"/>
      <c r="W194" s="2"/>
      <c r="X194" s="2"/>
      <c r="Y194" s="2"/>
      <c r="Z194" s="2"/>
    </row>
    <row r="195" spans="1:26" ht="12" customHeight="1" x14ac:dyDescent="0.3">
      <c r="A195" s="2"/>
      <c r="B195" s="2"/>
      <c r="C195" s="2"/>
      <c r="D195" s="53"/>
      <c r="E195" s="53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73"/>
      <c r="S195" s="2"/>
      <c r="T195" s="2"/>
      <c r="U195" s="2"/>
      <c r="V195" s="2"/>
      <c r="W195" s="2"/>
      <c r="X195" s="2"/>
      <c r="Y195" s="2"/>
      <c r="Z195" s="2"/>
    </row>
    <row r="196" spans="1:26" ht="12" customHeight="1" x14ac:dyDescent="0.3">
      <c r="A196" s="2"/>
      <c r="B196" s="2"/>
      <c r="C196" s="2"/>
      <c r="D196" s="53"/>
      <c r="E196" s="53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73"/>
      <c r="S196" s="2"/>
      <c r="T196" s="2"/>
      <c r="U196" s="2"/>
      <c r="V196" s="2"/>
      <c r="W196" s="2"/>
      <c r="X196" s="2"/>
      <c r="Y196" s="2"/>
      <c r="Z196" s="2"/>
    </row>
    <row r="197" spans="1:26" ht="12" customHeight="1" x14ac:dyDescent="0.3">
      <c r="A197" s="2"/>
      <c r="B197" s="2"/>
      <c r="C197" s="2"/>
      <c r="D197" s="53"/>
      <c r="E197" s="53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73"/>
      <c r="S197" s="2"/>
      <c r="T197" s="2"/>
      <c r="U197" s="2"/>
      <c r="V197" s="2"/>
      <c r="W197" s="2"/>
      <c r="X197" s="2"/>
      <c r="Y197" s="2"/>
      <c r="Z197" s="2"/>
    </row>
    <row r="198" spans="1:26" ht="12" customHeight="1" x14ac:dyDescent="0.3">
      <c r="A198" s="2"/>
      <c r="B198" s="2"/>
      <c r="C198" s="2"/>
      <c r="D198" s="53"/>
      <c r="E198" s="53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73"/>
      <c r="S198" s="2"/>
      <c r="T198" s="2"/>
      <c r="U198" s="2"/>
      <c r="V198" s="2"/>
      <c r="W198" s="2"/>
      <c r="X198" s="2"/>
      <c r="Y198" s="2"/>
      <c r="Z198" s="2"/>
    </row>
    <row r="199" spans="1:26" ht="12" customHeight="1" x14ac:dyDescent="0.3">
      <c r="A199" s="2"/>
      <c r="B199" s="2"/>
      <c r="C199" s="2"/>
      <c r="D199" s="53"/>
      <c r="E199" s="53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73"/>
      <c r="S199" s="2"/>
      <c r="T199" s="2"/>
      <c r="U199" s="2"/>
      <c r="V199" s="2"/>
      <c r="W199" s="2"/>
      <c r="X199" s="2"/>
      <c r="Y199" s="2"/>
      <c r="Z199" s="2"/>
    </row>
    <row r="200" spans="1:26" ht="12" customHeight="1" x14ac:dyDescent="0.3">
      <c r="A200" s="2"/>
      <c r="B200" s="2"/>
      <c r="C200" s="2"/>
      <c r="D200" s="53"/>
      <c r="E200" s="53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73"/>
      <c r="S200" s="2"/>
      <c r="T200" s="2"/>
      <c r="U200" s="2"/>
      <c r="V200" s="2"/>
      <c r="W200" s="2"/>
      <c r="X200" s="2"/>
      <c r="Y200" s="2"/>
      <c r="Z200" s="2"/>
    </row>
    <row r="201" spans="1:26" ht="12" customHeight="1" x14ac:dyDescent="0.3">
      <c r="A201" s="2"/>
      <c r="B201" s="2"/>
      <c r="C201" s="2"/>
      <c r="D201" s="53"/>
      <c r="E201" s="53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73"/>
      <c r="S201" s="2"/>
      <c r="T201" s="2"/>
      <c r="U201" s="2"/>
      <c r="V201" s="2"/>
      <c r="W201" s="2"/>
      <c r="X201" s="2"/>
      <c r="Y201" s="2"/>
      <c r="Z201" s="2"/>
    </row>
    <row r="202" spans="1:26" ht="12" customHeight="1" x14ac:dyDescent="0.3">
      <c r="A202" s="2"/>
      <c r="B202" s="2"/>
      <c r="C202" s="2"/>
      <c r="D202" s="53"/>
      <c r="E202" s="53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73"/>
      <c r="S202" s="2"/>
      <c r="T202" s="2"/>
      <c r="U202" s="2"/>
      <c r="V202" s="2"/>
      <c r="W202" s="2"/>
      <c r="X202" s="2"/>
      <c r="Y202" s="2"/>
      <c r="Z202" s="2"/>
    </row>
    <row r="203" spans="1:26" ht="12" customHeight="1" x14ac:dyDescent="0.3">
      <c r="A203" s="2"/>
      <c r="B203" s="2"/>
      <c r="C203" s="2"/>
      <c r="D203" s="53"/>
      <c r="E203" s="53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73"/>
      <c r="S203" s="2"/>
      <c r="T203" s="2"/>
      <c r="U203" s="2"/>
      <c r="V203" s="2"/>
      <c r="W203" s="2"/>
      <c r="X203" s="2"/>
      <c r="Y203" s="2"/>
      <c r="Z203" s="2"/>
    </row>
    <row r="204" spans="1:26" ht="12" customHeight="1" x14ac:dyDescent="0.3">
      <c r="A204" s="2"/>
      <c r="B204" s="2"/>
      <c r="C204" s="2"/>
      <c r="D204" s="53"/>
      <c r="E204" s="53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73"/>
      <c r="S204" s="2"/>
      <c r="T204" s="2"/>
      <c r="U204" s="2"/>
      <c r="V204" s="2"/>
      <c r="W204" s="2"/>
      <c r="X204" s="2"/>
      <c r="Y204" s="2"/>
      <c r="Z204" s="2"/>
    </row>
    <row r="205" spans="1:26" ht="12" customHeight="1" x14ac:dyDescent="0.3">
      <c r="A205" s="2"/>
      <c r="B205" s="2"/>
      <c r="C205" s="2"/>
      <c r="D205" s="53"/>
      <c r="E205" s="53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73"/>
      <c r="S205" s="2"/>
      <c r="T205" s="2"/>
      <c r="U205" s="2"/>
      <c r="V205" s="2"/>
      <c r="W205" s="2"/>
      <c r="X205" s="2"/>
      <c r="Y205" s="2"/>
      <c r="Z205" s="2"/>
    </row>
    <row r="206" spans="1:26" ht="12" customHeight="1" x14ac:dyDescent="0.3">
      <c r="A206" s="2"/>
      <c r="B206" s="2"/>
      <c r="C206" s="2"/>
      <c r="D206" s="53"/>
      <c r="E206" s="53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73"/>
      <c r="S206" s="2"/>
      <c r="T206" s="2"/>
      <c r="U206" s="2"/>
      <c r="V206" s="2"/>
      <c r="W206" s="2"/>
      <c r="X206" s="2"/>
      <c r="Y206" s="2"/>
      <c r="Z206" s="2"/>
    </row>
    <row r="207" spans="1:26" ht="12" customHeight="1" x14ac:dyDescent="0.3">
      <c r="A207" s="2"/>
      <c r="B207" s="2"/>
      <c r="C207" s="2"/>
      <c r="D207" s="53"/>
      <c r="E207" s="53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73"/>
      <c r="S207" s="2"/>
      <c r="T207" s="2"/>
      <c r="U207" s="2"/>
      <c r="V207" s="2"/>
      <c r="W207" s="2"/>
      <c r="X207" s="2"/>
      <c r="Y207" s="2"/>
      <c r="Z207" s="2"/>
    </row>
    <row r="208" spans="1:26" ht="12" customHeight="1" x14ac:dyDescent="0.3">
      <c r="A208" s="2"/>
      <c r="B208" s="2"/>
      <c r="C208" s="2"/>
      <c r="D208" s="53"/>
      <c r="E208" s="53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73"/>
      <c r="S208" s="2"/>
      <c r="T208" s="2"/>
      <c r="U208" s="2"/>
      <c r="V208" s="2"/>
      <c r="W208" s="2"/>
      <c r="X208" s="2"/>
      <c r="Y208" s="2"/>
      <c r="Z208" s="2"/>
    </row>
    <row r="209" spans="1:26" ht="12" customHeight="1" x14ac:dyDescent="0.3">
      <c r="A209" s="2"/>
      <c r="B209" s="2"/>
      <c r="C209" s="2"/>
      <c r="D209" s="53"/>
      <c r="E209" s="53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73"/>
      <c r="S209" s="2"/>
      <c r="T209" s="2"/>
      <c r="U209" s="2"/>
      <c r="V209" s="2"/>
      <c r="W209" s="2"/>
      <c r="X209" s="2"/>
      <c r="Y209" s="2"/>
      <c r="Z209" s="2"/>
    </row>
    <row r="210" spans="1:26" ht="12" customHeight="1" x14ac:dyDescent="0.3">
      <c r="A210" s="2"/>
      <c r="B210" s="2"/>
      <c r="C210" s="2"/>
      <c r="D210" s="53"/>
      <c r="E210" s="53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73"/>
      <c r="S210" s="2"/>
      <c r="T210" s="2"/>
      <c r="U210" s="2"/>
      <c r="V210" s="2"/>
      <c r="W210" s="2"/>
      <c r="X210" s="2"/>
      <c r="Y210" s="2"/>
      <c r="Z210" s="2"/>
    </row>
    <row r="211" spans="1:26" ht="12" customHeight="1" x14ac:dyDescent="0.3">
      <c r="A211" s="2"/>
      <c r="B211" s="2"/>
      <c r="C211" s="2"/>
      <c r="D211" s="53"/>
      <c r="E211" s="53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73"/>
      <c r="S211" s="2"/>
      <c r="T211" s="2"/>
      <c r="U211" s="2"/>
      <c r="V211" s="2"/>
      <c r="W211" s="2"/>
      <c r="X211" s="2"/>
      <c r="Y211" s="2"/>
      <c r="Z211" s="2"/>
    </row>
    <row r="212" spans="1:26" ht="12" customHeight="1" x14ac:dyDescent="0.3">
      <c r="A212" s="2"/>
      <c r="B212" s="2"/>
      <c r="C212" s="2"/>
      <c r="D212" s="53"/>
      <c r="E212" s="53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73"/>
      <c r="S212" s="2"/>
      <c r="T212" s="2"/>
      <c r="U212" s="2"/>
      <c r="V212" s="2"/>
      <c r="W212" s="2"/>
      <c r="X212" s="2"/>
      <c r="Y212" s="2"/>
      <c r="Z212" s="2"/>
    </row>
    <row r="213" spans="1:26" ht="12" customHeight="1" x14ac:dyDescent="0.3">
      <c r="A213" s="2"/>
      <c r="B213" s="2"/>
      <c r="C213" s="2"/>
      <c r="D213" s="53"/>
      <c r="E213" s="53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73"/>
      <c r="S213" s="2"/>
      <c r="T213" s="2"/>
      <c r="U213" s="2"/>
      <c r="V213" s="2"/>
      <c r="W213" s="2"/>
      <c r="X213" s="2"/>
      <c r="Y213" s="2"/>
      <c r="Z213" s="2"/>
    </row>
    <row r="214" spans="1:26" ht="12" customHeight="1" x14ac:dyDescent="0.3">
      <c r="A214" s="2"/>
      <c r="B214" s="2"/>
      <c r="C214" s="2"/>
      <c r="D214" s="53"/>
      <c r="E214" s="53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73"/>
      <c r="S214" s="2"/>
      <c r="T214" s="2"/>
      <c r="U214" s="2"/>
      <c r="V214" s="2"/>
      <c r="W214" s="2"/>
      <c r="X214" s="2"/>
      <c r="Y214" s="2"/>
      <c r="Z214" s="2"/>
    </row>
    <row r="215" spans="1:26" ht="12" customHeight="1" x14ac:dyDescent="0.3">
      <c r="A215" s="2"/>
      <c r="B215" s="2"/>
      <c r="C215" s="2"/>
      <c r="D215" s="53"/>
      <c r="E215" s="53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73"/>
      <c r="S215" s="2"/>
      <c r="T215" s="2"/>
      <c r="U215" s="2"/>
      <c r="V215" s="2"/>
      <c r="W215" s="2"/>
      <c r="X215" s="2"/>
      <c r="Y215" s="2"/>
      <c r="Z215" s="2"/>
    </row>
    <row r="216" spans="1:26" ht="12" customHeight="1" x14ac:dyDescent="0.3">
      <c r="A216" s="2"/>
      <c r="B216" s="2"/>
      <c r="C216" s="2"/>
      <c r="D216" s="53"/>
      <c r="E216" s="53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73"/>
      <c r="S216" s="2"/>
      <c r="T216" s="2"/>
      <c r="U216" s="2"/>
      <c r="V216" s="2"/>
      <c r="W216" s="2"/>
      <c r="X216" s="2"/>
      <c r="Y216" s="2"/>
      <c r="Z216" s="2"/>
    </row>
    <row r="217" spans="1:26" ht="12" customHeight="1" x14ac:dyDescent="0.3">
      <c r="A217" s="2"/>
      <c r="B217" s="2"/>
      <c r="C217" s="2"/>
      <c r="D217" s="53"/>
      <c r="E217" s="53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73"/>
      <c r="S217" s="2"/>
      <c r="T217" s="2"/>
      <c r="U217" s="2"/>
      <c r="V217" s="2"/>
      <c r="W217" s="2"/>
      <c r="X217" s="2"/>
      <c r="Y217" s="2"/>
      <c r="Z217" s="2"/>
    </row>
    <row r="218" spans="1:26" ht="12" customHeight="1" x14ac:dyDescent="0.3">
      <c r="A218" s="2"/>
      <c r="B218" s="2"/>
      <c r="C218" s="2"/>
      <c r="D218" s="53"/>
      <c r="E218" s="53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73"/>
      <c r="S218" s="2"/>
      <c r="T218" s="2"/>
      <c r="U218" s="2"/>
      <c r="V218" s="2"/>
      <c r="W218" s="2"/>
      <c r="X218" s="2"/>
      <c r="Y218" s="2"/>
      <c r="Z218" s="2"/>
    </row>
    <row r="219" spans="1:26" ht="12" customHeight="1" x14ac:dyDescent="0.3">
      <c r="A219" s="2"/>
      <c r="B219" s="2"/>
      <c r="C219" s="2"/>
      <c r="D219" s="53"/>
      <c r="E219" s="53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73"/>
      <c r="S219" s="2"/>
      <c r="T219" s="2"/>
      <c r="U219" s="2"/>
      <c r="V219" s="2"/>
      <c r="W219" s="2"/>
      <c r="X219" s="2"/>
      <c r="Y219" s="2"/>
      <c r="Z219" s="2"/>
    </row>
    <row r="220" spans="1:26" ht="12" customHeight="1" x14ac:dyDescent="0.3">
      <c r="A220" s="2"/>
      <c r="B220" s="2"/>
      <c r="C220" s="2"/>
      <c r="D220" s="53"/>
      <c r="E220" s="53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73"/>
      <c r="S220" s="2"/>
      <c r="T220" s="2"/>
      <c r="U220" s="2"/>
      <c r="V220" s="2"/>
      <c r="W220" s="2"/>
      <c r="X220" s="2"/>
      <c r="Y220" s="2"/>
      <c r="Z220" s="2"/>
    </row>
    <row r="221" spans="1:26" ht="12" customHeight="1" x14ac:dyDescent="0.3">
      <c r="A221" s="2"/>
      <c r="B221" s="2"/>
      <c r="C221" s="2"/>
      <c r="D221" s="53"/>
      <c r="E221" s="53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73"/>
      <c r="S221" s="2"/>
      <c r="T221" s="2"/>
      <c r="U221" s="2"/>
      <c r="V221" s="2"/>
      <c r="W221" s="2"/>
      <c r="X221" s="2"/>
      <c r="Y221" s="2"/>
      <c r="Z221" s="2"/>
    </row>
    <row r="222" spans="1:26" ht="12" customHeight="1" x14ac:dyDescent="0.3">
      <c r="A222" s="2"/>
      <c r="B222" s="2"/>
      <c r="C222" s="2"/>
      <c r="D222" s="53"/>
      <c r="E222" s="53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73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">
      <c r="R223" s="93"/>
    </row>
    <row r="224" spans="1:26" ht="15.75" customHeight="1" x14ac:dyDescent="0.3">
      <c r="R224" s="93"/>
    </row>
    <row r="225" spans="18:18" ht="15.75" customHeight="1" x14ac:dyDescent="0.3">
      <c r="R225" s="93"/>
    </row>
    <row r="226" spans="18:18" ht="15.75" customHeight="1" x14ac:dyDescent="0.3">
      <c r="R226" s="93"/>
    </row>
    <row r="227" spans="18:18" ht="15.75" customHeight="1" x14ac:dyDescent="0.3">
      <c r="R227" s="93"/>
    </row>
    <row r="228" spans="18:18" ht="15.75" customHeight="1" x14ac:dyDescent="0.3">
      <c r="R228" s="93"/>
    </row>
    <row r="229" spans="18:18" ht="15.75" customHeight="1" x14ac:dyDescent="0.3">
      <c r="R229" s="93"/>
    </row>
    <row r="230" spans="18:18" ht="15.75" customHeight="1" x14ac:dyDescent="0.3">
      <c r="R230" s="93"/>
    </row>
    <row r="231" spans="18:18" ht="15.75" customHeight="1" x14ac:dyDescent="0.3">
      <c r="R231" s="93"/>
    </row>
    <row r="232" spans="18:18" ht="15.75" customHeight="1" x14ac:dyDescent="0.3">
      <c r="R232" s="93"/>
    </row>
    <row r="233" spans="18:18" ht="15.75" customHeight="1" x14ac:dyDescent="0.3">
      <c r="R233" s="93"/>
    </row>
    <row r="234" spans="18:18" ht="15.75" customHeight="1" x14ac:dyDescent="0.3">
      <c r="R234" s="93"/>
    </row>
    <row r="235" spans="18:18" ht="15.75" customHeight="1" x14ac:dyDescent="0.3">
      <c r="R235" s="93"/>
    </row>
    <row r="236" spans="18:18" ht="15.75" customHeight="1" x14ac:dyDescent="0.3">
      <c r="R236" s="93"/>
    </row>
    <row r="237" spans="18:18" ht="15.75" customHeight="1" x14ac:dyDescent="0.3">
      <c r="R237" s="93"/>
    </row>
    <row r="238" spans="18:18" ht="15.75" customHeight="1" x14ac:dyDescent="0.3">
      <c r="R238" s="93"/>
    </row>
    <row r="239" spans="18:18" ht="15.75" customHeight="1" x14ac:dyDescent="0.3">
      <c r="R239" s="93"/>
    </row>
    <row r="240" spans="18:18" ht="15.75" customHeight="1" x14ac:dyDescent="0.3">
      <c r="R240" s="93"/>
    </row>
    <row r="241" spans="18:18" ht="15.75" customHeight="1" x14ac:dyDescent="0.3">
      <c r="R241" s="93"/>
    </row>
    <row r="242" spans="18:18" ht="15.75" customHeight="1" x14ac:dyDescent="0.3">
      <c r="R242" s="93"/>
    </row>
    <row r="243" spans="18:18" ht="15.75" customHeight="1" x14ac:dyDescent="0.3">
      <c r="R243" s="93"/>
    </row>
    <row r="244" spans="18:18" ht="15.75" customHeight="1" x14ac:dyDescent="0.3">
      <c r="R244" s="93"/>
    </row>
    <row r="245" spans="18:18" ht="15.75" customHeight="1" x14ac:dyDescent="0.3">
      <c r="R245" s="93"/>
    </row>
    <row r="246" spans="18:18" ht="15.75" customHeight="1" x14ac:dyDescent="0.3">
      <c r="R246" s="93"/>
    </row>
    <row r="247" spans="18:18" ht="15.75" customHeight="1" x14ac:dyDescent="0.3">
      <c r="R247" s="93"/>
    </row>
    <row r="248" spans="18:18" ht="15.75" customHeight="1" x14ac:dyDescent="0.3">
      <c r="R248" s="93"/>
    </row>
    <row r="249" spans="18:18" ht="15.75" customHeight="1" x14ac:dyDescent="0.3">
      <c r="R249" s="93"/>
    </row>
    <row r="250" spans="18:18" ht="15.75" customHeight="1" x14ac:dyDescent="0.3">
      <c r="R250" s="93"/>
    </row>
    <row r="251" spans="18:18" ht="15.75" customHeight="1" x14ac:dyDescent="0.3">
      <c r="R251" s="93"/>
    </row>
    <row r="252" spans="18:18" ht="15.75" customHeight="1" x14ac:dyDescent="0.3">
      <c r="R252" s="93"/>
    </row>
    <row r="253" spans="18:18" ht="15.75" customHeight="1" x14ac:dyDescent="0.3">
      <c r="R253" s="93"/>
    </row>
    <row r="254" spans="18:18" ht="15.75" customHeight="1" x14ac:dyDescent="0.3">
      <c r="R254" s="93"/>
    </row>
    <row r="255" spans="18:18" ht="15.75" customHeight="1" x14ac:dyDescent="0.3">
      <c r="R255" s="93"/>
    </row>
    <row r="256" spans="18:18" ht="15.75" customHeight="1" x14ac:dyDescent="0.3">
      <c r="R256" s="93"/>
    </row>
    <row r="257" spans="18:18" ht="15.75" customHeight="1" x14ac:dyDescent="0.3">
      <c r="R257" s="93"/>
    </row>
    <row r="258" spans="18:18" ht="15.75" customHeight="1" x14ac:dyDescent="0.3">
      <c r="R258" s="93"/>
    </row>
    <row r="259" spans="18:18" ht="15.75" customHeight="1" x14ac:dyDescent="0.3">
      <c r="R259" s="93"/>
    </row>
    <row r="260" spans="18:18" ht="15.75" customHeight="1" x14ac:dyDescent="0.3">
      <c r="R260" s="93"/>
    </row>
    <row r="261" spans="18:18" ht="15.75" customHeight="1" x14ac:dyDescent="0.3">
      <c r="R261" s="93"/>
    </row>
    <row r="262" spans="18:18" ht="15.75" customHeight="1" x14ac:dyDescent="0.3">
      <c r="R262" s="93"/>
    </row>
    <row r="263" spans="18:18" ht="15.75" customHeight="1" x14ac:dyDescent="0.3">
      <c r="R263" s="93"/>
    </row>
    <row r="264" spans="18:18" ht="15.75" customHeight="1" x14ac:dyDescent="0.3">
      <c r="R264" s="93"/>
    </row>
    <row r="265" spans="18:18" ht="15.75" customHeight="1" x14ac:dyDescent="0.3">
      <c r="R265" s="93"/>
    </row>
    <row r="266" spans="18:18" ht="15.75" customHeight="1" x14ac:dyDescent="0.3">
      <c r="R266" s="93"/>
    </row>
    <row r="267" spans="18:18" ht="15.75" customHeight="1" x14ac:dyDescent="0.3">
      <c r="R267" s="93"/>
    </row>
    <row r="268" spans="18:18" ht="15.75" customHeight="1" x14ac:dyDescent="0.3">
      <c r="R268" s="93"/>
    </row>
    <row r="269" spans="18:18" ht="15.75" customHeight="1" x14ac:dyDescent="0.3">
      <c r="R269" s="93"/>
    </row>
    <row r="270" spans="18:18" ht="15.75" customHeight="1" x14ac:dyDescent="0.3">
      <c r="R270" s="93"/>
    </row>
    <row r="271" spans="18:18" ht="15.75" customHeight="1" x14ac:dyDescent="0.3">
      <c r="R271" s="93"/>
    </row>
    <row r="272" spans="18:18" ht="15.75" customHeight="1" x14ac:dyDescent="0.3">
      <c r="R272" s="93"/>
    </row>
    <row r="273" spans="18:18" ht="15.75" customHeight="1" x14ac:dyDescent="0.3">
      <c r="R273" s="93"/>
    </row>
    <row r="274" spans="18:18" ht="15.75" customHeight="1" x14ac:dyDescent="0.3">
      <c r="R274" s="93"/>
    </row>
    <row r="275" spans="18:18" ht="15.75" customHeight="1" x14ac:dyDescent="0.3">
      <c r="R275" s="93"/>
    </row>
    <row r="276" spans="18:18" ht="15.75" customHeight="1" x14ac:dyDescent="0.3">
      <c r="R276" s="93"/>
    </row>
    <row r="277" spans="18:18" ht="15.75" customHeight="1" x14ac:dyDescent="0.3">
      <c r="R277" s="93"/>
    </row>
    <row r="278" spans="18:18" ht="15.75" customHeight="1" x14ac:dyDescent="0.3">
      <c r="R278" s="93"/>
    </row>
    <row r="279" spans="18:18" ht="15.75" customHeight="1" x14ac:dyDescent="0.3">
      <c r="R279" s="93"/>
    </row>
    <row r="280" spans="18:18" ht="15.75" customHeight="1" x14ac:dyDescent="0.3">
      <c r="R280" s="93"/>
    </row>
    <row r="281" spans="18:18" ht="15.75" customHeight="1" x14ac:dyDescent="0.3">
      <c r="R281" s="93"/>
    </row>
    <row r="282" spans="18:18" ht="15.75" customHeight="1" x14ac:dyDescent="0.3">
      <c r="R282" s="93"/>
    </row>
    <row r="283" spans="18:18" ht="15.75" customHeight="1" x14ac:dyDescent="0.3">
      <c r="R283" s="93"/>
    </row>
    <row r="284" spans="18:18" ht="15.75" customHeight="1" x14ac:dyDescent="0.3">
      <c r="R284" s="93"/>
    </row>
    <row r="285" spans="18:18" ht="15.75" customHeight="1" x14ac:dyDescent="0.3">
      <c r="R285" s="93"/>
    </row>
    <row r="286" spans="18:18" ht="15.75" customHeight="1" x14ac:dyDescent="0.3">
      <c r="R286" s="93"/>
    </row>
    <row r="287" spans="18:18" ht="15.75" customHeight="1" x14ac:dyDescent="0.3">
      <c r="R287" s="93"/>
    </row>
    <row r="288" spans="18:18" ht="15.75" customHeight="1" x14ac:dyDescent="0.3">
      <c r="R288" s="93"/>
    </row>
    <row r="289" spans="18:18" ht="15.75" customHeight="1" x14ac:dyDescent="0.3">
      <c r="R289" s="93"/>
    </row>
    <row r="290" spans="18:18" ht="15.75" customHeight="1" x14ac:dyDescent="0.3">
      <c r="R290" s="93"/>
    </row>
    <row r="291" spans="18:18" ht="15.75" customHeight="1" x14ac:dyDescent="0.3">
      <c r="R291" s="93"/>
    </row>
    <row r="292" spans="18:18" ht="15.75" customHeight="1" x14ac:dyDescent="0.3">
      <c r="R292" s="93"/>
    </row>
    <row r="293" spans="18:18" ht="15.75" customHeight="1" x14ac:dyDescent="0.3">
      <c r="R293" s="93"/>
    </row>
    <row r="294" spans="18:18" ht="15.75" customHeight="1" x14ac:dyDescent="0.3">
      <c r="R294" s="93"/>
    </row>
    <row r="295" spans="18:18" ht="15.75" customHeight="1" x14ac:dyDescent="0.3">
      <c r="R295" s="93"/>
    </row>
    <row r="296" spans="18:18" ht="15.75" customHeight="1" x14ac:dyDescent="0.3">
      <c r="R296" s="93"/>
    </row>
    <row r="297" spans="18:18" ht="15.75" customHeight="1" x14ac:dyDescent="0.3">
      <c r="R297" s="93"/>
    </row>
    <row r="298" spans="18:18" ht="15.75" customHeight="1" x14ac:dyDescent="0.3">
      <c r="R298" s="93"/>
    </row>
    <row r="299" spans="18:18" ht="15.75" customHeight="1" x14ac:dyDescent="0.3">
      <c r="R299" s="93"/>
    </row>
    <row r="300" spans="18:18" ht="15.75" customHeight="1" x14ac:dyDescent="0.3">
      <c r="R300" s="93"/>
    </row>
    <row r="301" spans="18:18" ht="15.75" customHeight="1" x14ac:dyDescent="0.3">
      <c r="R301" s="93"/>
    </row>
    <row r="302" spans="18:18" ht="15.75" customHeight="1" x14ac:dyDescent="0.3">
      <c r="R302" s="93"/>
    </row>
    <row r="303" spans="18:18" ht="15.75" customHeight="1" x14ac:dyDescent="0.3">
      <c r="R303" s="93"/>
    </row>
    <row r="304" spans="18:18" ht="15.75" customHeight="1" x14ac:dyDescent="0.3">
      <c r="R304" s="93"/>
    </row>
    <row r="305" spans="18:18" ht="15.75" customHeight="1" x14ac:dyDescent="0.3">
      <c r="R305" s="93"/>
    </row>
    <row r="306" spans="18:18" ht="15.75" customHeight="1" x14ac:dyDescent="0.3">
      <c r="R306" s="93"/>
    </row>
    <row r="307" spans="18:18" ht="15.75" customHeight="1" x14ac:dyDescent="0.3">
      <c r="R307" s="93"/>
    </row>
    <row r="308" spans="18:18" ht="15.75" customHeight="1" x14ac:dyDescent="0.3">
      <c r="R308" s="93"/>
    </row>
    <row r="309" spans="18:18" ht="15.75" customHeight="1" x14ac:dyDescent="0.3">
      <c r="R309" s="93"/>
    </row>
    <row r="310" spans="18:18" ht="15.75" customHeight="1" x14ac:dyDescent="0.3">
      <c r="R310" s="93"/>
    </row>
    <row r="311" spans="18:18" ht="15.75" customHeight="1" x14ac:dyDescent="0.3">
      <c r="R311" s="93"/>
    </row>
    <row r="312" spans="18:18" ht="15.75" customHeight="1" x14ac:dyDescent="0.3">
      <c r="R312" s="93"/>
    </row>
    <row r="313" spans="18:18" ht="15.75" customHeight="1" x14ac:dyDescent="0.3">
      <c r="R313" s="93"/>
    </row>
    <row r="314" spans="18:18" ht="15.75" customHeight="1" x14ac:dyDescent="0.3">
      <c r="R314" s="93"/>
    </row>
    <row r="315" spans="18:18" ht="15.75" customHeight="1" x14ac:dyDescent="0.3">
      <c r="R315" s="93"/>
    </row>
    <row r="316" spans="18:18" ht="15.75" customHeight="1" x14ac:dyDescent="0.3">
      <c r="R316" s="93"/>
    </row>
    <row r="317" spans="18:18" ht="15.75" customHeight="1" x14ac:dyDescent="0.3">
      <c r="R317" s="93"/>
    </row>
    <row r="318" spans="18:18" ht="15.75" customHeight="1" x14ac:dyDescent="0.3">
      <c r="R318" s="93"/>
    </row>
    <row r="319" spans="18:18" ht="15.75" customHeight="1" x14ac:dyDescent="0.3">
      <c r="R319" s="93"/>
    </row>
    <row r="320" spans="18:18" ht="15.75" customHeight="1" x14ac:dyDescent="0.3">
      <c r="R320" s="93"/>
    </row>
    <row r="321" spans="18:18" ht="15.75" customHeight="1" x14ac:dyDescent="0.3">
      <c r="R321" s="93"/>
    </row>
    <row r="322" spans="18:18" ht="15.75" customHeight="1" x14ac:dyDescent="0.3">
      <c r="R322" s="93"/>
    </row>
    <row r="323" spans="18:18" ht="15.75" customHeight="1" x14ac:dyDescent="0.3">
      <c r="R323" s="93"/>
    </row>
    <row r="324" spans="18:18" ht="15.75" customHeight="1" x14ac:dyDescent="0.3">
      <c r="R324" s="93"/>
    </row>
    <row r="325" spans="18:18" ht="15.75" customHeight="1" x14ac:dyDescent="0.3">
      <c r="R325" s="93"/>
    </row>
    <row r="326" spans="18:18" ht="15.75" customHeight="1" x14ac:dyDescent="0.3">
      <c r="R326" s="93"/>
    </row>
    <row r="327" spans="18:18" ht="15.75" customHeight="1" x14ac:dyDescent="0.3">
      <c r="R327" s="93"/>
    </row>
    <row r="328" spans="18:18" ht="15.75" customHeight="1" x14ac:dyDescent="0.3">
      <c r="R328" s="93"/>
    </row>
    <row r="329" spans="18:18" ht="15.75" customHeight="1" x14ac:dyDescent="0.3">
      <c r="R329" s="93"/>
    </row>
    <row r="330" spans="18:18" ht="15.75" customHeight="1" x14ac:dyDescent="0.3">
      <c r="R330" s="93"/>
    </row>
    <row r="331" spans="18:18" ht="15.75" customHeight="1" x14ac:dyDescent="0.3">
      <c r="R331" s="93"/>
    </row>
    <row r="332" spans="18:18" ht="15.75" customHeight="1" x14ac:dyDescent="0.3">
      <c r="R332" s="93"/>
    </row>
    <row r="333" spans="18:18" ht="15.75" customHeight="1" x14ac:dyDescent="0.3">
      <c r="R333" s="93"/>
    </row>
    <row r="334" spans="18:18" ht="15.75" customHeight="1" x14ac:dyDescent="0.3">
      <c r="R334" s="93"/>
    </row>
    <row r="335" spans="18:18" ht="15.75" customHeight="1" x14ac:dyDescent="0.3">
      <c r="R335" s="93"/>
    </row>
    <row r="336" spans="18:18" ht="15.75" customHeight="1" x14ac:dyDescent="0.3">
      <c r="R336" s="93"/>
    </row>
    <row r="337" spans="18:18" ht="15.75" customHeight="1" x14ac:dyDescent="0.3">
      <c r="R337" s="93"/>
    </row>
    <row r="338" spans="18:18" ht="15.75" customHeight="1" x14ac:dyDescent="0.3">
      <c r="R338" s="93"/>
    </row>
    <row r="339" spans="18:18" ht="15.75" customHeight="1" x14ac:dyDescent="0.3">
      <c r="R339" s="93"/>
    </row>
    <row r="340" spans="18:18" ht="15.75" customHeight="1" x14ac:dyDescent="0.3">
      <c r="R340" s="93"/>
    </row>
    <row r="341" spans="18:18" ht="15.75" customHeight="1" x14ac:dyDescent="0.3">
      <c r="R341" s="93"/>
    </row>
    <row r="342" spans="18:18" ht="15.75" customHeight="1" x14ac:dyDescent="0.3">
      <c r="R342" s="93"/>
    </row>
    <row r="343" spans="18:18" ht="15.75" customHeight="1" x14ac:dyDescent="0.3">
      <c r="R343" s="93"/>
    </row>
    <row r="344" spans="18:18" ht="15.75" customHeight="1" x14ac:dyDescent="0.3">
      <c r="R344" s="93"/>
    </row>
    <row r="345" spans="18:18" ht="15.75" customHeight="1" x14ac:dyDescent="0.3">
      <c r="R345" s="93"/>
    </row>
    <row r="346" spans="18:18" ht="15.75" customHeight="1" x14ac:dyDescent="0.3">
      <c r="R346" s="93"/>
    </row>
    <row r="347" spans="18:18" ht="15.75" customHeight="1" x14ac:dyDescent="0.3">
      <c r="R347" s="93"/>
    </row>
    <row r="348" spans="18:18" ht="15.75" customHeight="1" x14ac:dyDescent="0.3">
      <c r="R348" s="93"/>
    </row>
    <row r="349" spans="18:18" ht="15.75" customHeight="1" x14ac:dyDescent="0.3">
      <c r="R349" s="93"/>
    </row>
    <row r="350" spans="18:18" ht="15.75" customHeight="1" x14ac:dyDescent="0.3">
      <c r="R350" s="93"/>
    </row>
    <row r="351" spans="18:18" ht="15.75" customHeight="1" x14ac:dyDescent="0.3">
      <c r="R351" s="93"/>
    </row>
    <row r="352" spans="18:18" ht="15.75" customHeight="1" x14ac:dyDescent="0.3">
      <c r="R352" s="93"/>
    </row>
    <row r="353" spans="18:18" ht="15.75" customHeight="1" x14ac:dyDescent="0.3">
      <c r="R353" s="93"/>
    </row>
    <row r="354" spans="18:18" ht="15.75" customHeight="1" x14ac:dyDescent="0.3">
      <c r="R354" s="93"/>
    </row>
    <row r="355" spans="18:18" ht="15.75" customHeight="1" x14ac:dyDescent="0.3">
      <c r="R355" s="93"/>
    </row>
    <row r="356" spans="18:18" ht="15.75" customHeight="1" x14ac:dyDescent="0.3">
      <c r="R356" s="93"/>
    </row>
    <row r="357" spans="18:18" ht="15.75" customHeight="1" x14ac:dyDescent="0.3">
      <c r="R357" s="93"/>
    </row>
    <row r="358" spans="18:18" ht="15.75" customHeight="1" x14ac:dyDescent="0.3">
      <c r="R358" s="93"/>
    </row>
    <row r="359" spans="18:18" ht="15.75" customHeight="1" x14ac:dyDescent="0.3">
      <c r="R359" s="93"/>
    </row>
    <row r="360" spans="18:18" ht="15.75" customHeight="1" x14ac:dyDescent="0.3">
      <c r="R360" s="93"/>
    </row>
    <row r="361" spans="18:18" ht="15.75" customHeight="1" x14ac:dyDescent="0.3">
      <c r="R361" s="93"/>
    </row>
    <row r="362" spans="18:18" ht="15.75" customHeight="1" x14ac:dyDescent="0.3">
      <c r="R362" s="93"/>
    </row>
    <row r="363" spans="18:18" ht="15.75" customHeight="1" x14ac:dyDescent="0.3">
      <c r="R363" s="93"/>
    </row>
    <row r="364" spans="18:18" ht="15.75" customHeight="1" x14ac:dyDescent="0.3">
      <c r="R364" s="93"/>
    </row>
    <row r="365" spans="18:18" ht="15.75" customHeight="1" x14ac:dyDescent="0.3">
      <c r="R365" s="93"/>
    </row>
    <row r="366" spans="18:18" ht="15.75" customHeight="1" x14ac:dyDescent="0.3">
      <c r="R366" s="93"/>
    </row>
    <row r="367" spans="18:18" ht="15.75" customHeight="1" x14ac:dyDescent="0.3">
      <c r="R367" s="93"/>
    </row>
    <row r="368" spans="18:18" ht="15.75" customHeight="1" x14ac:dyDescent="0.3">
      <c r="R368" s="93"/>
    </row>
    <row r="369" spans="18:18" ht="15.75" customHeight="1" x14ac:dyDescent="0.3">
      <c r="R369" s="93"/>
    </row>
    <row r="370" spans="18:18" ht="15.75" customHeight="1" x14ac:dyDescent="0.3">
      <c r="R370" s="93"/>
    </row>
    <row r="371" spans="18:18" ht="15.75" customHeight="1" x14ac:dyDescent="0.3">
      <c r="R371" s="93"/>
    </row>
    <row r="372" spans="18:18" ht="15.75" customHeight="1" x14ac:dyDescent="0.3">
      <c r="R372" s="93"/>
    </row>
    <row r="373" spans="18:18" ht="15.75" customHeight="1" x14ac:dyDescent="0.3">
      <c r="R373" s="93"/>
    </row>
    <row r="374" spans="18:18" ht="15.75" customHeight="1" x14ac:dyDescent="0.3">
      <c r="R374" s="93"/>
    </row>
    <row r="375" spans="18:18" ht="15.75" customHeight="1" x14ac:dyDescent="0.3">
      <c r="R375" s="93"/>
    </row>
    <row r="376" spans="18:18" ht="15.75" customHeight="1" x14ac:dyDescent="0.3">
      <c r="R376" s="93"/>
    </row>
    <row r="377" spans="18:18" ht="15.75" customHeight="1" x14ac:dyDescent="0.3">
      <c r="R377" s="93"/>
    </row>
    <row r="378" spans="18:18" ht="15.75" customHeight="1" x14ac:dyDescent="0.3">
      <c r="R378" s="93"/>
    </row>
    <row r="379" spans="18:18" ht="15.75" customHeight="1" x14ac:dyDescent="0.3">
      <c r="R379" s="93"/>
    </row>
    <row r="380" spans="18:18" ht="15.75" customHeight="1" x14ac:dyDescent="0.3">
      <c r="R380" s="93"/>
    </row>
    <row r="381" spans="18:18" ht="15.75" customHeight="1" x14ac:dyDescent="0.3">
      <c r="R381" s="93"/>
    </row>
    <row r="382" spans="18:18" ht="15.75" customHeight="1" x14ac:dyDescent="0.3">
      <c r="R382" s="93"/>
    </row>
    <row r="383" spans="18:18" ht="15.75" customHeight="1" x14ac:dyDescent="0.3">
      <c r="R383" s="93"/>
    </row>
    <row r="384" spans="18:18" ht="15.75" customHeight="1" x14ac:dyDescent="0.3">
      <c r="R384" s="93"/>
    </row>
    <row r="385" spans="18:18" ht="15.75" customHeight="1" x14ac:dyDescent="0.3">
      <c r="R385" s="93"/>
    </row>
    <row r="386" spans="18:18" ht="15.75" customHeight="1" x14ac:dyDescent="0.3">
      <c r="R386" s="93"/>
    </row>
    <row r="387" spans="18:18" ht="15.75" customHeight="1" x14ac:dyDescent="0.3">
      <c r="R387" s="93"/>
    </row>
    <row r="388" spans="18:18" ht="15.75" customHeight="1" x14ac:dyDescent="0.3">
      <c r="R388" s="93"/>
    </row>
    <row r="389" spans="18:18" ht="15.75" customHeight="1" x14ac:dyDescent="0.3">
      <c r="R389" s="93"/>
    </row>
    <row r="390" spans="18:18" ht="15.75" customHeight="1" x14ac:dyDescent="0.3">
      <c r="R390" s="93"/>
    </row>
    <row r="391" spans="18:18" ht="15.75" customHeight="1" x14ac:dyDescent="0.3">
      <c r="R391" s="93"/>
    </row>
    <row r="392" spans="18:18" ht="15.75" customHeight="1" x14ac:dyDescent="0.3">
      <c r="R392" s="93"/>
    </row>
    <row r="393" spans="18:18" ht="15.75" customHeight="1" x14ac:dyDescent="0.3">
      <c r="R393" s="93"/>
    </row>
    <row r="394" spans="18:18" ht="15.75" customHeight="1" x14ac:dyDescent="0.3">
      <c r="R394" s="93"/>
    </row>
    <row r="395" spans="18:18" ht="15.75" customHeight="1" x14ac:dyDescent="0.3">
      <c r="R395" s="93"/>
    </row>
    <row r="396" spans="18:18" ht="15.75" customHeight="1" x14ac:dyDescent="0.3">
      <c r="R396" s="93"/>
    </row>
    <row r="397" spans="18:18" ht="15.75" customHeight="1" x14ac:dyDescent="0.3">
      <c r="R397" s="93"/>
    </row>
    <row r="398" spans="18:18" ht="15.75" customHeight="1" x14ac:dyDescent="0.3">
      <c r="R398" s="93"/>
    </row>
    <row r="399" spans="18:18" ht="15.75" customHeight="1" x14ac:dyDescent="0.3">
      <c r="R399" s="93"/>
    </row>
    <row r="400" spans="18:18" ht="15.75" customHeight="1" x14ac:dyDescent="0.3">
      <c r="R400" s="93"/>
    </row>
    <row r="401" spans="18:18" ht="15.75" customHeight="1" x14ac:dyDescent="0.3">
      <c r="R401" s="93"/>
    </row>
    <row r="402" spans="18:18" ht="15.75" customHeight="1" x14ac:dyDescent="0.3">
      <c r="R402" s="93"/>
    </row>
    <row r="403" spans="18:18" ht="15.75" customHeight="1" x14ac:dyDescent="0.3">
      <c r="R403" s="93"/>
    </row>
    <row r="404" spans="18:18" ht="15.75" customHeight="1" x14ac:dyDescent="0.3">
      <c r="R404" s="93"/>
    </row>
    <row r="405" spans="18:18" ht="15.75" customHeight="1" x14ac:dyDescent="0.3">
      <c r="R405" s="93"/>
    </row>
    <row r="406" spans="18:18" ht="15.75" customHeight="1" x14ac:dyDescent="0.3">
      <c r="R406" s="93"/>
    </row>
    <row r="407" spans="18:18" ht="15.75" customHeight="1" x14ac:dyDescent="0.3">
      <c r="R407" s="93"/>
    </row>
    <row r="408" spans="18:18" ht="15.75" customHeight="1" x14ac:dyDescent="0.3">
      <c r="R408" s="93"/>
    </row>
    <row r="409" spans="18:18" ht="15.75" customHeight="1" x14ac:dyDescent="0.3">
      <c r="R409" s="93"/>
    </row>
    <row r="410" spans="18:18" ht="15.75" customHeight="1" x14ac:dyDescent="0.3">
      <c r="R410" s="93"/>
    </row>
    <row r="411" spans="18:18" ht="15.75" customHeight="1" x14ac:dyDescent="0.3">
      <c r="R411" s="93"/>
    </row>
    <row r="412" spans="18:18" ht="15.75" customHeight="1" x14ac:dyDescent="0.3">
      <c r="R412" s="93"/>
    </row>
    <row r="413" spans="18:18" ht="15.75" customHeight="1" x14ac:dyDescent="0.3">
      <c r="R413" s="93"/>
    </row>
    <row r="414" spans="18:18" ht="15.75" customHeight="1" x14ac:dyDescent="0.3">
      <c r="R414" s="93"/>
    </row>
    <row r="415" spans="18:18" ht="15.75" customHeight="1" x14ac:dyDescent="0.3">
      <c r="R415" s="93"/>
    </row>
    <row r="416" spans="18:18" ht="15.75" customHeight="1" x14ac:dyDescent="0.3">
      <c r="R416" s="93"/>
    </row>
    <row r="417" spans="18:18" ht="15.75" customHeight="1" x14ac:dyDescent="0.3">
      <c r="R417" s="93"/>
    </row>
    <row r="418" spans="18:18" ht="15.75" customHeight="1" x14ac:dyDescent="0.3">
      <c r="R418" s="93"/>
    </row>
    <row r="419" spans="18:18" ht="15.75" customHeight="1" x14ac:dyDescent="0.3">
      <c r="R419" s="93"/>
    </row>
    <row r="420" spans="18:18" ht="15.75" customHeight="1" x14ac:dyDescent="0.3">
      <c r="R420" s="93"/>
    </row>
    <row r="421" spans="18:18" ht="15.75" customHeight="1" x14ac:dyDescent="0.3">
      <c r="R421" s="93"/>
    </row>
    <row r="422" spans="18:18" ht="15.75" customHeight="1" x14ac:dyDescent="0.3">
      <c r="R422" s="93"/>
    </row>
    <row r="423" spans="18:18" ht="15.75" customHeight="1" x14ac:dyDescent="0.3">
      <c r="R423" s="93"/>
    </row>
    <row r="424" spans="18:18" ht="15.75" customHeight="1" x14ac:dyDescent="0.3">
      <c r="R424" s="93"/>
    </row>
    <row r="425" spans="18:18" ht="15.75" customHeight="1" x14ac:dyDescent="0.3">
      <c r="R425" s="93"/>
    </row>
    <row r="426" spans="18:18" ht="15.75" customHeight="1" x14ac:dyDescent="0.3">
      <c r="R426" s="93"/>
    </row>
    <row r="427" spans="18:18" ht="15.75" customHeight="1" x14ac:dyDescent="0.3">
      <c r="R427" s="93"/>
    </row>
    <row r="428" spans="18:18" ht="15.75" customHeight="1" x14ac:dyDescent="0.3">
      <c r="R428" s="93"/>
    </row>
    <row r="429" spans="18:18" ht="15.75" customHeight="1" x14ac:dyDescent="0.3">
      <c r="R429" s="93"/>
    </row>
    <row r="430" spans="18:18" ht="15.75" customHeight="1" x14ac:dyDescent="0.3">
      <c r="R430" s="93"/>
    </row>
    <row r="431" spans="18:18" ht="15.75" customHeight="1" x14ac:dyDescent="0.3">
      <c r="R431" s="93"/>
    </row>
    <row r="432" spans="18:18" ht="15.75" customHeight="1" x14ac:dyDescent="0.3">
      <c r="R432" s="93"/>
    </row>
    <row r="433" spans="18:18" ht="15.75" customHeight="1" x14ac:dyDescent="0.3">
      <c r="R433" s="93"/>
    </row>
    <row r="434" spans="18:18" ht="15.75" customHeight="1" x14ac:dyDescent="0.3">
      <c r="R434" s="93"/>
    </row>
    <row r="435" spans="18:18" ht="15.75" customHeight="1" x14ac:dyDescent="0.3">
      <c r="R435" s="93"/>
    </row>
    <row r="436" spans="18:18" ht="15.75" customHeight="1" x14ac:dyDescent="0.3">
      <c r="R436" s="93"/>
    </row>
    <row r="437" spans="18:18" ht="15.75" customHeight="1" x14ac:dyDescent="0.3">
      <c r="R437" s="93"/>
    </row>
    <row r="438" spans="18:18" ht="15.75" customHeight="1" x14ac:dyDescent="0.3">
      <c r="R438" s="93"/>
    </row>
    <row r="439" spans="18:18" ht="15.75" customHeight="1" x14ac:dyDescent="0.3">
      <c r="R439" s="93"/>
    </row>
    <row r="440" spans="18:18" ht="15.75" customHeight="1" x14ac:dyDescent="0.3">
      <c r="R440" s="93"/>
    </row>
    <row r="441" spans="18:18" ht="15.75" customHeight="1" x14ac:dyDescent="0.3">
      <c r="R441" s="93"/>
    </row>
    <row r="442" spans="18:18" ht="15.75" customHeight="1" x14ac:dyDescent="0.3">
      <c r="R442" s="93"/>
    </row>
    <row r="443" spans="18:18" ht="15.75" customHeight="1" x14ac:dyDescent="0.3">
      <c r="R443" s="93"/>
    </row>
    <row r="444" spans="18:18" ht="15.75" customHeight="1" x14ac:dyDescent="0.3">
      <c r="R444" s="93"/>
    </row>
    <row r="445" spans="18:18" ht="15.75" customHeight="1" x14ac:dyDescent="0.3">
      <c r="R445" s="93"/>
    </row>
    <row r="446" spans="18:18" ht="15.75" customHeight="1" x14ac:dyDescent="0.3">
      <c r="R446" s="93"/>
    </row>
    <row r="447" spans="18:18" ht="15.75" customHeight="1" x14ac:dyDescent="0.3">
      <c r="R447" s="93"/>
    </row>
    <row r="448" spans="18:18" ht="15.75" customHeight="1" x14ac:dyDescent="0.3">
      <c r="R448" s="93"/>
    </row>
    <row r="449" spans="18:18" ht="15.75" customHeight="1" x14ac:dyDescent="0.3">
      <c r="R449" s="93"/>
    </row>
    <row r="450" spans="18:18" ht="15.75" customHeight="1" x14ac:dyDescent="0.3">
      <c r="R450" s="93"/>
    </row>
    <row r="451" spans="18:18" ht="15.75" customHeight="1" x14ac:dyDescent="0.3">
      <c r="R451" s="93"/>
    </row>
    <row r="452" spans="18:18" ht="15.75" customHeight="1" x14ac:dyDescent="0.3">
      <c r="R452" s="93"/>
    </row>
    <row r="453" spans="18:18" ht="15.75" customHeight="1" x14ac:dyDescent="0.3">
      <c r="R453" s="93"/>
    </row>
    <row r="454" spans="18:18" ht="15.75" customHeight="1" x14ac:dyDescent="0.3">
      <c r="R454" s="93"/>
    </row>
    <row r="455" spans="18:18" ht="15.75" customHeight="1" x14ac:dyDescent="0.3">
      <c r="R455" s="93"/>
    </row>
    <row r="456" spans="18:18" ht="15.75" customHeight="1" x14ac:dyDescent="0.3">
      <c r="R456" s="93"/>
    </row>
    <row r="457" spans="18:18" ht="15.75" customHeight="1" x14ac:dyDescent="0.3">
      <c r="R457" s="93"/>
    </row>
    <row r="458" spans="18:18" ht="15.75" customHeight="1" x14ac:dyDescent="0.3">
      <c r="R458" s="93"/>
    </row>
    <row r="459" spans="18:18" ht="15.75" customHeight="1" x14ac:dyDescent="0.3">
      <c r="R459" s="93"/>
    </row>
    <row r="460" spans="18:18" ht="15.75" customHeight="1" x14ac:dyDescent="0.3">
      <c r="R460" s="93"/>
    </row>
    <row r="461" spans="18:18" ht="15.75" customHeight="1" x14ac:dyDescent="0.3">
      <c r="R461" s="93"/>
    </row>
    <row r="462" spans="18:18" ht="15.75" customHeight="1" x14ac:dyDescent="0.3">
      <c r="R462" s="93"/>
    </row>
    <row r="463" spans="18:18" ht="15.75" customHeight="1" x14ac:dyDescent="0.3">
      <c r="R463" s="93"/>
    </row>
    <row r="464" spans="18:18" ht="15.75" customHeight="1" x14ac:dyDescent="0.3">
      <c r="R464" s="93"/>
    </row>
    <row r="465" spans="18:18" ht="15.75" customHeight="1" x14ac:dyDescent="0.3">
      <c r="R465" s="93"/>
    </row>
    <row r="466" spans="18:18" ht="15.75" customHeight="1" x14ac:dyDescent="0.3">
      <c r="R466" s="93"/>
    </row>
    <row r="467" spans="18:18" ht="15.75" customHeight="1" x14ac:dyDescent="0.3">
      <c r="R467" s="93"/>
    </row>
    <row r="468" spans="18:18" ht="15.75" customHeight="1" x14ac:dyDescent="0.3">
      <c r="R468" s="93"/>
    </row>
    <row r="469" spans="18:18" ht="15.75" customHeight="1" x14ac:dyDescent="0.3">
      <c r="R469" s="93"/>
    </row>
    <row r="470" spans="18:18" ht="15.75" customHeight="1" x14ac:dyDescent="0.3">
      <c r="R470" s="93"/>
    </row>
    <row r="471" spans="18:18" ht="15.75" customHeight="1" x14ac:dyDescent="0.3">
      <c r="R471" s="93"/>
    </row>
    <row r="472" spans="18:18" ht="15.75" customHeight="1" x14ac:dyDescent="0.3">
      <c r="R472" s="93"/>
    </row>
    <row r="473" spans="18:18" ht="15.75" customHeight="1" x14ac:dyDescent="0.3">
      <c r="R473" s="93"/>
    </row>
    <row r="474" spans="18:18" ht="15.75" customHeight="1" x14ac:dyDescent="0.3">
      <c r="R474" s="93"/>
    </row>
    <row r="475" spans="18:18" ht="15.75" customHeight="1" x14ac:dyDescent="0.3">
      <c r="R475" s="93"/>
    </row>
    <row r="476" spans="18:18" ht="15.75" customHeight="1" x14ac:dyDescent="0.3">
      <c r="R476" s="93"/>
    </row>
    <row r="477" spans="18:18" ht="15.75" customHeight="1" x14ac:dyDescent="0.3">
      <c r="R477" s="93"/>
    </row>
    <row r="478" spans="18:18" ht="15.75" customHeight="1" x14ac:dyDescent="0.3">
      <c r="R478" s="93"/>
    </row>
    <row r="479" spans="18:18" ht="15.75" customHeight="1" x14ac:dyDescent="0.3">
      <c r="R479" s="93"/>
    </row>
    <row r="480" spans="18:18" ht="15.75" customHeight="1" x14ac:dyDescent="0.3">
      <c r="R480" s="93"/>
    </row>
    <row r="481" spans="18:18" ht="15.75" customHeight="1" x14ac:dyDescent="0.3">
      <c r="R481" s="93"/>
    </row>
    <row r="482" spans="18:18" ht="15.75" customHeight="1" x14ac:dyDescent="0.3">
      <c r="R482" s="93"/>
    </row>
    <row r="483" spans="18:18" ht="15.75" customHeight="1" x14ac:dyDescent="0.3">
      <c r="R483" s="93"/>
    </row>
    <row r="484" spans="18:18" ht="15.75" customHeight="1" x14ac:dyDescent="0.3">
      <c r="R484" s="93"/>
    </row>
    <row r="485" spans="18:18" ht="15.75" customHeight="1" x14ac:dyDescent="0.3">
      <c r="R485" s="93"/>
    </row>
    <row r="486" spans="18:18" ht="15.75" customHeight="1" x14ac:dyDescent="0.3">
      <c r="R486" s="93"/>
    </row>
    <row r="487" spans="18:18" ht="15.75" customHeight="1" x14ac:dyDescent="0.3">
      <c r="R487" s="93"/>
    </row>
    <row r="488" spans="18:18" ht="15.75" customHeight="1" x14ac:dyDescent="0.3">
      <c r="R488" s="93"/>
    </row>
    <row r="489" spans="18:18" ht="15.75" customHeight="1" x14ac:dyDescent="0.3">
      <c r="R489" s="93"/>
    </row>
    <row r="490" spans="18:18" ht="15.75" customHeight="1" x14ac:dyDescent="0.3">
      <c r="R490" s="93"/>
    </row>
    <row r="491" spans="18:18" ht="15.75" customHeight="1" x14ac:dyDescent="0.3">
      <c r="R491" s="93"/>
    </row>
    <row r="492" spans="18:18" ht="15.75" customHeight="1" x14ac:dyDescent="0.3">
      <c r="R492" s="93"/>
    </row>
    <row r="493" spans="18:18" ht="15.75" customHeight="1" x14ac:dyDescent="0.3">
      <c r="R493" s="93"/>
    </row>
    <row r="494" spans="18:18" ht="15.75" customHeight="1" x14ac:dyDescent="0.3">
      <c r="R494" s="93"/>
    </row>
    <row r="495" spans="18:18" ht="15.75" customHeight="1" x14ac:dyDescent="0.3">
      <c r="R495" s="93"/>
    </row>
    <row r="496" spans="18:18" ht="15.75" customHeight="1" x14ac:dyDescent="0.3">
      <c r="R496" s="93"/>
    </row>
    <row r="497" spans="18:18" ht="15.75" customHeight="1" x14ac:dyDescent="0.3">
      <c r="R497" s="93"/>
    </row>
    <row r="498" spans="18:18" ht="15.75" customHeight="1" x14ac:dyDescent="0.3">
      <c r="R498" s="93"/>
    </row>
    <row r="499" spans="18:18" ht="15.75" customHeight="1" x14ac:dyDescent="0.3">
      <c r="R499" s="93"/>
    </row>
    <row r="500" spans="18:18" ht="15.75" customHeight="1" x14ac:dyDescent="0.3">
      <c r="R500" s="93"/>
    </row>
    <row r="501" spans="18:18" ht="15.75" customHeight="1" x14ac:dyDescent="0.3">
      <c r="R501" s="93"/>
    </row>
    <row r="502" spans="18:18" ht="15.75" customHeight="1" x14ac:dyDescent="0.3">
      <c r="R502" s="93"/>
    </row>
    <row r="503" spans="18:18" ht="15.75" customHeight="1" x14ac:dyDescent="0.3">
      <c r="R503" s="93"/>
    </row>
    <row r="504" spans="18:18" ht="15.75" customHeight="1" x14ac:dyDescent="0.3">
      <c r="R504" s="93"/>
    </row>
    <row r="505" spans="18:18" ht="15.75" customHeight="1" x14ac:dyDescent="0.3">
      <c r="R505" s="93"/>
    </row>
    <row r="506" spans="18:18" ht="15.75" customHeight="1" x14ac:dyDescent="0.3">
      <c r="R506" s="93"/>
    </row>
    <row r="507" spans="18:18" ht="15.75" customHeight="1" x14ac:dyDescent="0.3">
      <c r="R507" s="93"/>
    </row>
    <row r="508" spans="18:18" ht="15.75" customHeight="1" x14ac:dyDescent="0.3">
      <c r="R508" s="93"/>
    </row>
    <row r="509" spans="18:18" ht="15.75" customHeight="1" x14ac:dyDescent="0.3">
      <c r="R509" s="93"/>
    </row>
    <row r="510" spans="18:18" ht="15.75" customHeight="1" x14ac:dyDescent="0.3">
      <c r="R510" s="93"/>
    </row>
    <row r="511" spans="18:18" ht="15.75" customHeight="1" x14ac:dyDescent="0.3">
      <c r="R511" s="93"/>
    </row>
    <row r="512" spans="18:18" ht="15.75" customHeight="1" x14ac:dyDescent="0.3">
      <c r="R512" s="93"/>
    </row>
    <row r="513" spans="18:18" ht="15.75" customHeight="1" x14ac:dyDescent="0.3">
      <c r="R513" s="93"/>
    </row>
    <row r="514" spans="18:18" ht="15.75" customHeight="1" x14ac:dyDescent="0.3">
      <c r="R514" s="93"/>
    </row>
    <row r="515" spans="18:18" ht="15.75" customHeight="1" x14ac:dyDescent="0.3">
      <c r="R515" s="93"/>
    </row>
    <row r="516" spans="18:18" ht="15.75" customHeight="1" x14ac:dyDescent="0.3">
      <c r="R516" s="93"/>
    </row>
    <row r="517" spans="18:18" ht="15.75" customHeight="1" x14ac:dyDescent="0.3">
      <c r="R517" s="93"/>
    </row>
    <row r="518" spans="18:18" ht="15.75" customHeight="1" x14ac:dyDescent="0.3">
      <c r="R518" s="93"/>
    </row>
    <row r="519" spans="18:18" ht="15.75" customHeight="1" x14ac:dyDescent="0.3">
      <c r="R519" s="93"/>
    </row>
    <row r="520" spans="18:18" ht="15.75" customHeight="1" x14ac:dyDescent="0.3">
      <c r="R520" s="93"/>
    </row>
    <row r="521" spans="18:18" ht="15.75" customHeight="1" x14ac:dyDescent="0.3">
      <c r="R521" s="93"/>
    </row>
    <row r="522" spans="18:18" ht="15.75" customHeight="1" x14ac:dyDescent="0.3">
      <c r="R522" s="93"/>
    </row>
    <row r="523" spans="18:18" ht="15.75" customHeight="1" x14ac:dyDescent="0.3">
      <c r="R523" s="93"/>
    </row>
    <row r="524" spans="18:18" ht="15.75" customHeight="1" x14ac:dyDescent="0.3">
      <c r="R524" s="93"/>
    </row>
    <row r="525" spans="18:18" ht="15.75" customHeight="1" x14ac:dyDescent="0.3">
      <c r="R525" s="93"/>
    </row>
    <row r="526" spans="18:18" ht="15.75" customHeight="1" x14ac:dyDescent="0.3">
      <c r="R526" s="93"/>
    </row>
    <row r="527" spans="18:18" ht="15.75" customHeight="1" x14ac:dyDescent="0.3">
      <c r="R527" s="93"/>
    </row>
    <row r="528" spans="18:18" ht="15.75" customHeight="1" x14ac:dyDescent="0.3">
      <c r="R528" s="93"/>
    </row>
    <row r="529" spans="18:18" ht="15.75" customHeight="1" x14ac:dyDescent="0.3">
      <c r="R529" s="93"/>
    </row>
    <row r="530" spans="18:18" ht="15.75" customHeight="1" x14ac:dyDescent="0.3">
      <c r="R530" s="93"/>
    </row>
    <row r="531" spans="18:18" ht="15.75" customHeight="1" x14ac:dyDescent="0.3">
      <c r="R531" s="93"/>
    </row>
    <row r="532" spans="18:18" ht="15.75" customHeight="1" x14ac:dyDescent="0.3">
      <c r="R532" s="93"/>
    </row>
    <row r="533" spans="18:18" ht="15.75" customHeight="1" x14ac:dyDescent="0.3">
      <c r="R533" s="93"/>
    </row>
    <row r="534" spans="18:18" ht="15.75" customHeight="1" x14ac:dyDescent="0.3">
      <c r="R534" s="93"/>
    </row>
    <row r="535" spans="18:18" ht="15.75" customHeight="1" x14ac:dyDescent="0.3">
      <c r="R535" s="93"/>
    </row>
    <row r="536" spans="18:18" ht="15.75" customHeight="1" x14ac:dyDescent="0.3">
      <c r="R536" s="93"/>
    </row>
    <row r="537" spans="18:18" ht="15.75" customHeight="1" x14ac:dyDescent="0.3">
      <c r="R537" s="93"/>
    </row>
    <row r="538" spans="18:18" ht="15.75" customHeight="1" x14ac:dyDescent="0.3">
      <c r="R538" s="93"/>
    </row>
    <row r="539" spans="18:18" ht="15.75" customHeight="1" x14ac:dyDescent="0.3">
      <c r="R539" s="93"/>
    </row>
    <row r="540" spans="18:18" ht="15.75" customHeight="1" x14ac:dyDescent="0.3">
      <c r="R540" s="93"/>
    </row>
    <row r="541" spans="18:18" ht="15.75" customHeight="1" x14ac:dyDescent="0.3">
      <c r="R541" s="93"/>
    </row>
    <row r="542" spans="18:18" ht="15.75" customHeight="1" x14ac:dyDescent="0.3">
      <c r="R542" s="93"/>
    </row>
    <row r="543" spans="18:18" ht="15.75" customHeight="1" x14ac:dyDescent="0.3">
      <c r="R543" s="93"/>
    </row>
    <row r="544" spans="18:18" ht="15.75" customHeight="1" x14ac:dyDescent="0.3">
      <c r="R544" s="93"/>
    </row>
    <row r="545" spans="18:18" ht="15.75" customHeight="1" x14ac:dyDescent="0.3">
      <c r="R545" s="93"/>
    </row>
    <row r="546" spans="18:18" ht="15.75" customHeight="1" x14ac:dyDescent="0.3">
      <c r="R546" s="93"/>
    </row>
    <row r="547" spans="18:18" ht="15.75" customHeight="1" x14ac:dyDescent="0.3">
      <c r="R547" s="93"/>
    </row>
    <row r="548" spans="18:18" ht="15.75" customHeight="1" x14ac:dyDescent="0.3">
      <c r="R548" s="93"/>
    </row>
    <row r="549" spans="18:18" ht="15.75" customHeight="1" x14ac:dyDescent="0.3">
      <c r="R549" s="93"/>
    </row>
    <row r="550" spans="18:18" ht="15.75" customHeight="1" x14ac:dyDescent="0.3">
      <c r="R550" s="93"/>
    </row>
    <row r="551" spans="18:18" ht="15.75" customHeight="1" x14ac:dyDescent="0.3">
      <c r="R551" s="93"/>
    </row>
    <row r="552" spans="18:18" ht="15.75" customHeight="1" x14ac:dyDescent="0.3">
      <c r="R552" s="93"/>
    </row>
    <row r="553" spans="18:18" ht="15.75" customHeight="1" x14ac:dyDescent="0.3">
      <c r="R553" s="93"/>
    </row>
    <row r="554" spans="18:18" ht="15.75" customHeight="1" x14ac:dyDescent="0.3">
      <c r="R554" s="93"/>
    </row>
    <row r="555" spans="18:18" ht="15.75" customHeight="1" x14ac:dyDescent="0.3">
      <c r="R555" s="93"/>
    </row>
    <row r="556" spans="18:18" ht="15.75" customHeight="1" x14ac:dyDescent="0.3">
      <c r="R556" s="93"/>
    </row>
    <row r="557" spans="18:18" ht="15.75" customHeight="1" x14ac:dyDescent="0.3">
      <c r="R557" s="93"/>
    </row>
    <row r="558" spans="18:18" ht="15.75" customHeight="1" x14ac:dyDescent="0.3">
      <c r="R558" s="93"/>
    </row>
    <row r="559" spans="18:18" ht="15.75" customHeight="1" x14ac:dyDescent="0.3">
      <c r="R559" s="93"/>
    </row>
    <row r="560" spans="18:18" ht="15.75" customHeight="1" x14ac:dyDescent="0.3">
      <c r="R560" s="93"/>
    </row>
    <row r="561" spans="18:18" ht="15.75" customHeight="1" x14ac:dyDescent="0.3">
      <c r="R561" s="93"/>
    </row>
    <row r="562" spans="18:18" ht="15.75" customHeight="1" x14ac:dyDescent="0.3">
      <c r="R562" s="93"/>
    </row>
    <row r="563" spans="18:18" ht="15.75" customHeight="1" x14ac:dyDescent="0.3">
      <c r="R563" s="93"/>
    </row>
    <row r="564" spans="18:18" ht="15.75" customHeight="1" x14ac:dyDescent="0.3">
      <c r="R564" s="93"/>
    </row>
    <row r="565" spans="18:18" ht="15.75" customHeight="1" x14ac:dyDescent="0.3">
      <c r="R565" s="93"/>
    </row>
    <row r="566" spans="18:18" ht="15.75" customHeight="1" x14ac:dyDescent="0.3">
      <c r="R566" s="93"/>
    </row>
    <row r="567" spans="18:18" ht="15.75" customHeight="1" x14ac:dyDescent="0.3">
      <c r="R567" s="93"/>
    </row>
    <row r="568" spans="18:18" ht="15.75" customHeight="1" x14ac:dyDescent="0.3">
      <c r="R568" s="93"/>
    </row>
    <row r="569" spans="18:18" ht="15.75" customHeight="1" x14ac:dyDescent="0.3">
      <c r="R569" s="93"/>
    </row>
    <row r="570" spans="18:18" ht="15.75" customHeight="1" x14ac:dyDescent="0.3">
      <c r="R570" s="93"/>
    </row>
    <row r="571" spans="18:18" ht="15.75" customHeight="1" x14ac:dyDescent="0.3">
      <c r="R571" s="93"/>
    </row>
    <row r="572" spans="18:18" ht="15.75" customHeight="1" x14ac:dyDescent="0.3">
      <c r="R572" s="93"/>
    </row>
    <row r="573" spans="18:18" ht="15.75" customHeight="1" x14ac:dyDescent="0.3">
      <c r="R573" s="93"/>
    </row>
    <row r="574" spans="18:18" ht="15.75" customHeight="1" x14ac:dyDescent="0.3">
      <c r="R574" s="93"/>
    </row>
    <row r="575" spans="18:18" ht="15.75" customHeight="1" x14ac:dyDescent="0.3">
      <c r="R575" s="93"/>
    </row>
    <row r="576" spans="18:18" ht="15.75" customHeight="1" x14ac:dyDescent="0.3">
      <c r="R576" s="93"/>
    </row>
    <row r="577" spans="18:18" ht="15.75" customHeight="1" x14ac:dyDescent="0.3">
      <c r="R577" s="93"/>
    </row>
    <row r="578" spans="18:18" ht="15.75" customHeight="1" x14ac:dyDescent="0.3">
      <c r="R578" s="93"/>
    </row>
    <row r="579" spans="18:18" ht="15.75" customHeight="1" x14ac:dyDescent="0.3">
      <c r="R579" s="93"/>
    </row>
    <row r="580" spans="18:18" ht="15.75" customHeight="1" x14ac:dyDescent="0.3">
      <c r="R580" s="93"/>
    </row>
    <row r="581" spans="18:18" ht="15.75" customHeight="1" x14ac:dyDescent="0.3">
      <c r="R581" s="93"/>
    </row>
    <row r="582" spans="18:18" ht="15.75" customHeight="1" x14ac:dyDescent="0.3">
      <c r="R582" s="93"/>
    </row>
    <row r="583" spans="18:18" ht="15.75" customHeight="1" x14ac:dyDescent="0.3">
      <c r="R583" s="93"/>
    </row>
    <row r="584" spans="18:18" ht="15.75" customHeight="1" x14ac:dyDescent="0.3">
      <c r="R584" s="93"/>
    </row>
    <row r="585" spans="18:18" ht="15.75" customHeight="1" x14ac:dyDescent="0.3">
      <c r="R585" s="93"/>
    </row>
    <row r="586" spans="18:18" ht="15.75" customHeight="1" x14ac:dyDescent="0.3">
      <c r="R586" s="93"/>
    </row>
    <row r="587" spans="18:18" ht="15.75" customHeight="1" x14ac:dyDescent="0.3">
      <c r="R587" s="93"/>
    </row>
    <row r="588" spans="18:18" ht="15.75" customHeight="1" x14ac:dyDescent="0.3">
      <c r="R588" s="93"/>
    </row>
    <row r="589" spans="18:18" ht="15.75" customHeight="1" x14ac:dyDescent="0.3">
      <c r="R589" s="93"/>
    </row>
    <row r="590" spans="18:18" ht="15.75" customHeight="1" x14ac:dyDescent="0.3">
      <c r="R590" s="93"/>
    </row>
    <row r="591" spans="18:18" ht="15.75" customHeight="1" x14ac:dyDescent="0.3">
      <c r="R591" s="93"/>
    </row>
    <row r="592" spans="18:18" ht="15.75" customHeight="1" x14ac:dyDescent="0.3">
      <c r="R592" s="93"/>
    </row>
    <row r="593" spans="18:18" ht="15.75" customHeight="1" x14ac:dyDescent="0.3">
      <c r="R593" s="93"/>
    </row>
    <row r="594" spans="18:18" ht="15.75" customHeight="1" x14ac:dyDescent="0.3">
      <c r="R594" s="93"/>
    </row>
    <row r="595" spans="18:18" ht="15.75" customHeight="1" x14ac:dyDescent="0.3">
      <c r="R595" s="93"/>
    </row>
    <row r="596" spans="18:18" ht="15.75" customHeight="1" x14ac:dyDescent="0.3">
      <c r="R596" s="93"/>
    </row>
    <row r="597" spans="18:18" ht="15.75" customHeight="1" x14ac:dyDescent="0.3">
      <c r="R597" s="93"/>
    </row>
    <row r="598" spans="18:18" ht="15.75" customHeight="1" x14ac:dyDescent="0.3">
      <c r="R598" s="93"/>
    </row>
    <row r="599" spans="18:18" ht="15.75" customHeight="1" x14ac:dyDescent="0.3">
      <c r="R599" s="93"/>
    </row>
    <row r="600" spans="18:18" ht="15.75" customHeight="1" x14ac:dyDescent="0.3">
      <c r="R600" s="93"/>
    </row>
    <row r="601" spans="18:18" ht="15.75" customHeight="1" x14ac:dyDescent="0.3">
      <c r="R601" s="93"/>
    </row>
    <row r="602" spans="18:18" ht="15.75" customHeight="1" x14ac:dyDescent="0.3">
      <c r="R602" s="93"/>
    </row>
    <row r="603" spans="18:18" ht="15.75" customHeight="1" x14ac:dyDescent="0.3">
      <c r="R603" s="93"/>
    </row>
    <row r="604" spans="18:18" ht="15.75" customHeight="1" x14ac:dyDescent="0.3">
      <c r="R604" s="93"/>
    </row>
    <row r="605" spans="18:18" ht="15.75" customHeight="1" x14ac:dyDescent="0.3">
      <c r="R605" s="93"/>
    </row>
    <row r="606" spans="18:18" ht="15.75" customHeight="1" x14ac:dyDescent="0.3">
      <c r="R606" s="93"/>
    </row>
    <row r="607" spans="18:18" ht="15.75" customHeight="1" x14ac:dyDescent="0.3">
      <c r="R607" s="93"/>
    </row>
    <row r="608" spans="18:18" ht="15.75" customHeight="1" x14ac:dyDescent="0.3">
      <c r="R608" s="93"/>
    </row>
    <row r="609" spans="18:18" ht="15.75" customHeight="1" x14ac:dyDescent="0.3">
      <c r="R609" s="93"/>
    </row>
    <row r="610" spans="18:18" ht="15.75" customHeight="1" x14ac:dyDescent="0.3">
      <c r="R610" s="93"/>
    </row>
    <row r="611" spans="18:18" ht="15.75" customHeight="1" x14ac:dyDescent="0.3">
      <c r="R611" s="93"/>
    </row>
    <row r="612" spans="18:18" ht="15.75" customHeight="1" x14ac:dyDescent="0.3">
      <c r="R612" s="93"/>
    </row>
    <row r="613" spans="18:18" ht="15.75" customHeight="1" x14ac:dyDescent="0.3">
      <c r="R613" s="93"/>
    </row>
    <row r="614" spans="18:18" ht="15.75" customHeight="1" x14ac:dyDescent="0.3">
      <c r="R614" s="93"/>
    </row>
    <row r="615" spans="18:18" ht="15.75" customHeight="1" x14ac:dyDescent="0.3">
      <c r="R615" s="93"/>
    </row>
    <row r="616" spans="18:18" ht="15.75" customHeight="1" x14ac:dyDescent="0.3">
      <c r="R616" s="93"/>
    </row>
    <row r="617" spans="18:18" ht="15.75" customHeight="1" x14ac:dyDescent="0.3">
      <c r="R617" s="93"/>
    </row>
    <row r="618" spans="18:18" ht="15.75" customHeight="1" x14ac:dyDescent="0.3">
      <c r="R618" s="93"/>
    </row>
    <row r="619" spans="18:18" ht="15.75" customHeight="1" x14ac:dyDescent="0.3">
      <c r="R619" s="93"/>
    </row>
    <row r="620" spans="18:18" ht="15.75" customHeight="1" x14ac:dyDescent="0.3">
      <c r="R620" s="93"/>
    </row>
    <row r="621" spans="18:18" ht="15.75" customHeight="1" x14ac:dyDescent="0.3">
      <c r="R621" s="93"/>
    </row>
    <row r="622" spans="18:18" ht="15.75" customHeight="1" x14ac:dyDescent="0.3">
      <c r="R622" s="93"/>
    </row>
    <row r="623" spans="18:18" ht="15.75" customHeight="1" x14ac:dyDescent="0.3">
      <c r="R623" s="93"/>
    </row>
    <row r="624" spans="18:18" ht="15.75" customHeight="1" x14ac:dyDescent="0.3">
      <c r="R624" s="93"/>
    </row>
    <row r="625" spans="18:18" ht="15.75" customHeight="1" x14ac:dyDescent="0.3">
      <c r="R625" s="93"/>
    </row>
    <row r="626" spans="18:18" ht="15.75" customHeight="1" x14ac:dyDescent="0.3">
      <c r="R626" s="93"/>
    </row>
    <row r="627" spans="18:18" ht="15.75" customHeight="1" x14ac:dyDescent="0.3">
      <c r="R627" s="93"/>
    </row>
    <row r="628" spans="18:18" ht="15.75" customHeight="1" x14ac:dyDescent="0.3">
      <c r="R628" s="93"/>
    </row>
    <row r="629" spans="18:18" ht="15.75" customHeight="1" x14ac:dyDescent="0.3">
      <c r="R629" s="93"/>
    </row>
    <row r="630" spans="18:18" ht="15.75" customHeight="1" x14ac:dyDescent="0.3">
      <c r="R630" s="93"/>
    </row>
    <row r="631" spans="18:18" ht="15.75" customHeight="1" x14ac:dyDescent="0.3">
      <c r="R631" s="93"/>
    </row>
    <row r="632" spans="18:18" ht="15.75" customHeight="1" x14ac:dyDescent="0.3">
      <c r="R632" s="93"/>
    </row>
    <row r="633" spans="18:18" ht="15.75" customHeight="1" x14ac:dyDescent="0.3">
      <c r="R633" s="93"/>
    </row>
    <row r="634" spans="18:18" ht="15.75" customHeight="1" x14ac:dyDescent="0.3">
      <c r="R634" s="93"/>
    </row>
    <row r="635" spans="18:18" ht="15.75" customHeight="1" x14ac:dyDescent="0.3">
      <c r="R635" s="93"/>
    </row>
    <row r="636" spans="18:18" ht="15.75" customHeight="1" x14ac:dyDescent="0.3">
      <c r="R636" s="93"/>
    </row>
    <row r="637" spans="18:18" ht="15.75" customHeight="1" x14ac:dyDescent="0.3">
      <c r="R637" s="93"/>
    </row>
    <row r="638" spans="18:18" ht="15.75" customHeight="1" x14ac:dyDescent="0.3">
      <c r="R638" s="93"/>
    </row>
    <row r="639" spans="18:18" ht="15.75" customHeight="1" x14ac:dyDescent="0.3">
      <c r="R639" s="93"/>
    </row>
    <row r="640" spans="18:18" ht="15.75" customHeight="1" x14ac:dyDescent="0.3">
      <c r="R640" s="93"/>
    </row>
    <row r="641" spans="18:18" ht="15.75" customHeight="1" x14ac:dyDescent="0.3">
      <c r="R641" s="93"/>
    </row>
    <row r="642" spans="18:18" ht="15.75" customHeight="1" x14ac:dyDescent="0.3">
      <c r="R642" s="93"/>
    </row>
    <row r="643" spans="18:18" ht="15.75" customHeight="1" x14ac:dyDescent="0.3">
      <c r="R643" s="93"/>
    </row>
    <row r="644" spans="18:18" ht="15.75" customHeight="1" x14ac:dyDescent="0.3">
      <c r="R644" s="93"/>
    </row>
    <row r="645" spans="18:18" ht="15.75" customHeight="1" x14ac:dyDescent="0.3">
      <c r="R645" s="93"/>
    </row>
    <row r="646" spans="18:18" ht="15.75" customHeight="1" x14ac:dyDescent="0.3">
      <c r="R646" s="93"/>
    </row>
    <row r="647" spans="18:18" ht="15.75" customHeight="1" x14ac:dyDescent="0.3">
      <c r="R647" s="93"/>
    </row>
    <row r="648" spans="18:18" ht="15.75" customHeight="1" x14ac:dyDescent="0.3">
      <c r="R648" s="93"/>
    </row>
    <row r="649" spans="18:18" ht="15.75" customHeight="1" x14ac:dyDescent="0.3">
      <c r="R649" s="93"/>
    </row>
    <row r="650" spans="18:18" ht="15.75" customHeight="1" x14ac:dyDescent="0.3">
      <c r="R650" s="93"/>
    </row>
    <row r="651" spans="18:18" ht="15.75" customHeight="1" x14ac:dyDescent="0.3">
      <c r="R651" s="93"/>
    </row>
    <row r="652" spans="18:18" ht="15.75" customHeight="1" x14ac:dyDescent="0.3">
      <c r="R652" s="93"/>
    </row>
    <row r="653" spans="18:18" ht="15.75" customHeight="1" x14ac:dyDescent="0.3">
      <c r="R653" s="93"/>
    </row>
    <row r="654" spans="18:18" ht="15.75" customHeight="1" x14ac:dyDescent="0.3">
      <c r="R654" s="93"/>
    </row>
    <row r="655" spans="18:18" ht="15.75" customHeight="1" x14ac:dyDescent="0.3">
      <c r="R655" s="93"/>
    </row>
    <row r="656" spans="18:18" ht="15.75" customHeight="1" x14ac:dyDescent="0.3">
      <c r="R656" s="93"/>
    </row>
    <row r="657" spans="18:18" ht="15.75" customHeight="1" x14ac:dyDescent="0.3">
      <c r="R657" s="93"/>
    </row>
    <row r="658" spans="18:18" ht="15.75" customHeight="1" x14ac:dyDescent="0.3">
      <c r="R658" s="93"/>
    </row>
    <row r="659" spans="18:18" ht="15.75" customHeight="1" x14ac:dyDescent="0.3">
      <c r="R659" s="93"/>
    </row>
    <row r="660" spans="18:18" ht="15.75" customHeight="1" x14ac:dyDescent="0.3">
      <c r="R660" s="93"/>
    </row>
    <row r="661" spans="18:18" ht="15.75" customHeight="1" x14ac:dyDescent="0.3">
      <c r="R661" s="93"/>
    </row>
    <row r="662" spans="18:18" ht="15.75" customHeight="1" x14ac:dyDescent="0.3">
      <c r="R662" s="93"/>
    </row>
    <row r="663" spans="18:18" ht="15.75" customHeight="1" x14ac:dyDescent="0.3">
      <c r="R663" s="93"/>
    </row>
    <row r="664" spans="18:18" ht="15.75" customHeight="1" x14ac:dyDescent="0.3">
      <c r="R664" s="93"/>
    </row>
    <row r="665" spans="18:18" ht="15.75" customHeight="1" x14ac:dyDescent="0.3">
      <c r="R665" s="93"/>
    </row>
    <row r="666" spans="18:18" ht="15.75" customHeight="1" x14ac:dyDescent="0.3">
      <c r="R666" s="93"/>
    </row>
    <row r="667" spans="18:18" ht="15.75" customHeight="1" x14ac:dyDescent="0.3">
      <c r="R667" s="93"/>
    </row>
    <row r="668" spans="18:18" ht="15.75" customHeight="1" x14ac:dyDescent="0.3">
      <c r="R668" s="93"/>
    </row>
    <row r="669" spans="18:18" ht="15.75" customHeight="1" x14ac:dyDescent="0.3">
      <c r="R669" s="93"/>
    </row>
    <row r="670" spans="18:18" ht="15.75" customHeight="1" x14ac:dyDescent="0.3">
      <c r="R670" s="93"/>
    </row>
    <row r="671" spans="18:18" ht="15.75" customHeight="1" x14ac:dyDescent="0.3">
      <c r="R671" s="93"/>
    </row>
    <row r="672" spans="18:18" ht="15.75" customHeight="1" x14ac:dyDescent="0.3">
      <c r="R672" s="93"/>
    </row>
    <row r="673" spans="18:18" ht="15.75" customHeight="1" x14ac:dyDescent="0.3">
      <c r="R673" s="93"/>
    </row>
    <row r="674" spans="18:18" ht="15.75" customHeight="1" x14ac:dyDescent="0.3">
      <c r="R674" s="93"/>
    </row>
    <row r="675" spans="18:18" ht="15.75" customHeight="1" x14ac:dyDescent="0.3">
      <c r="R675" s="93"/>
    </row>
    <row r="676" spans="18:18" ht="15.75" customHeight="1" x14ac:dyDescent="0.3">
      <c r="R676" s="93"/>
    </row>
    <row r="677" spans="18:18" ht="15.75" customHeight="1" x14ac:dyDescent="0.3">
      <c r="R677" s="93"/>
    </row>
    <row r="678" spans="18:18" ht="15.75" customHeight="1" x14ac:dyDescent="0.3">
      <c r="R678" s="93"/>
    </row>
    <row r="679" spans="18:18" ht="15.75" customHeight="1" x14ac:dyDescent="0.3">
      <c r="R679" s="93"/>
    </row>
    <row r="680" spans="18:18" ht="15.75" customHeight="1" x14ac:dyDescent="0.3">
      <c r="R680" s="93"/>
    </row>
    <row r="681" spans="18:18" ht="15.75" customHeight="1" x14ac:dyDescent="0.3">
      <c r="R681" s="93"/>
    </row>
    <row r="682" spans="18:18" ht="15.75" customHeight="1" x14ac:dyDescent="0.3">
      <c r="R682" s="93"/>
    </row>
    <row r="683" spans="18:18" ht="15.75" customHeight="1" x14ac:dyDescent="0.3">
      <c r="R683" s="93"/>
    </row>
    <row r="684" spans="18:18" ht="15.75" customHeight="1" x14ac:dyDescent="0.3">
      <c r="R684" s="93"/>
    </row>
    <row r="685" spans="18:18" ht="15.75" customHeight="1" x14ac:dyDescent="0.3">
      <c r="R685" s="93"/>
    </row>
    <row r="686" spans="18:18" ht="15.75" customHeight="1" x14ac:dyDescent="0.3">
      <c r="R686" s="93"/>
    </row>
    <row r="687" spans="18:18" ht="15.75" customHeight="1" x14ac:dyDescent="0.3">
      <c r="R687" s="93"/>
    </row>
    <row r="688" spans="18:18" ht="15.75" customHeight="1" x14ac:dyDescent="0.3">
      <c r="R688" s="93"/>
    </row>
    <row r="689" spans="18:18" ht="15.75" customHeight="1" x14ac:dyDescent="0.3">
      <c r="R689" s="93"/>
    </row>
    <row r="690" spans="18:18" ht="15.75" customHeight="1" x14ac:dyDescent="0.3">
      <c r="R690" s="93"/>
    </row>
    <row r="691" spans="18:18" ht="15.75" customHeight="1" x14ac:dyDescent="0.3">
      <c r="R691" s="93"/>
    </row>
    <row r="692" spans="18:18" ht="15.75" customHeight="1" x14ac:dyDescent="0.3">
      <c r="R692" s="93"/>
    </row>
    <row r="693" spans="18:18" ht="15.75" customHeight="1" x14ac:dyDescent="0.3">
      <c r="R693" s="93"/>
    </row>
    <row r="694" spans="18:18" ht="15.75" customHeight="1" x14ac:dyDescent="0.3">
      <c r="R694" s="93"/>
    </row>
    <row r="695" spans="18:18" ht="15.75" customHeight="1" x14ac:dyDescent="0.3">
      <c r="R695" s="93"/>
    </row>
    <row r="696" spans="18:18" ht="15.75" customHeight="1" x14ac:dyDescent="0.3">
      <c r="R696" s="93"/>
    </row>
    <row r="697" spans="18:18" ht="15.75" customHeight="1" x14ac:dyDescent="0.3">
      <c r="R697" s="93"/>
    </row>
    <row r="698" spans="18:18" ht="15.75" customHeight="1" x14ac:dyDescent="0.3">
      <c r="R698" s="93"/>
    </row>
    <row r="699" spans="18:18" ht="15.75" customHeight="1" x14ac:dyDescent="0.3">
      <c r="R699" s="93"/>
    </row>
    <row r="700" spans="18:18" ht="15.75" customHeight="1" x14ac:dyDescent="0.3">
      <c r="R700" s="93"/>
    </row>
    <row r="701" spans="18:18" ht="15.75" customHeight="1" x14ac:dyDescent="0.3">
      <c r="R701" s="93"/>
    </row>
    <row r="702" spans="18:18" ht="15.75" customHeight="1" x14ac:dyDescent="0.3">
      <c r="R702" s="93"/>
    </row>
    <row r="703" spans="18:18" ht="15.75" customHeight="1" x14ac:dyDescent="0.3">
      <c r="R703" s="93"/>
    </row>
    <row r="704" spans="18:18" ht="15.75" customHeight="1" x14ac:dyDescent="0.3">
      <c r="R704" s="93"/>
    </row>
    <row r="705" spans="18:18" ht="15.75" customHeight="1" x14ac:dyDescent="0.3">
      <c r="R705" s="93"/>
    </row>
    <row r="706" spans="18:18" ht="15.75" customHeight="1" x14ac:dyDescent="0.3">
      <c r="R706" s="93"/>
    </row>
    <row r="707" spans="18:18" ht="15.75" customHeight="1" x14ac:dyDescent="0.3">
      <c r="R707" s="93"/>
    </row>
    <row r="708" spans="18:18" ht="15.75" customHeight="1" x14ac:dyDescent="0.3">
      <c r="R708" s="93"/>
    </row>
    <row r="709" spans="18:18" ht="15.75" customHeight="1" x14ac:dyDescent="0.3">
      <c r="R709" s="93"/>
    </row>
    <row r="710" spans="18:18" ht="15.75" customHeight="1" x14ac:dyDescent="0.3">
      <c r="R710" s="93"/>
    </row>
    <row r="711" spans="18:18" ht="15.75" customHeight="1" x14ac:dyDescent="0.3">
      <c r="R711" s="93"/>
    </row>
    <row r="712" spans="18:18" ht="15.75" customHeight="1" x14ac:dyDescent="0.3">
      <c r="R712" s="93"/>
    </row>
    <row r="713" spans="18:18" ht="15.75" customHeight="1" x14ac:dyDescent="0.3">
      <c r="R713" s="93"/>
    </row>
    <row r="714" spans="18:18" ht="15.75" customHeight="1" x14ac:dyDescent="0.3">
      <c r="R714" s="93"/>
    </row>
    <row r="715" spans="18:18" ht="15.75" customHeight="1" x14ac:dyDescent="0.3">
      <c r="R715" s="93"/>
    </row>
    <row r="716" spans="18:18" ht="15.75" customHeight="1" x14ac:dyDescent="0.3">
      <c r="R716" s="93"/>
    </row>
    <row r="717" spans="18:18" ht="15.75" customHeight="1" x14ac:dyDescent="0.3">
      <c r="R717" s="93"/>
    </row>
    <row r="718" spans="18:18" ht="15.75" customHeight="1" x14ac:dyDescent="0.3">
      <c r="R718" s="93"/>
    </row>
    <row r="719" spans="18:18" ht="15.75" customHeight="1" x14ac:dyDescent="0.3">
      <c r="R719" s="93"/>
    </row>
    <row r="720" spans="18:18" ht="15.75" customHeight="1" x14ac:dyDescent="0.3">
      <c r="R720" s="93"/>
    </row>
    <row r="721" spans="18:18" ht="15.75" customHeight="1" x14ac:dyDescent="0.3">
      <c r="R721" s="93"/>
    </row>
    <row r="722" spans="18:18" ht="15.75" customHeight="1" x14ac:dyDescent="0.3">
      <c r="R722" s="93"/>
    </row>
    <row r="723" spans="18:18" ht="15.75" customHeight="1" x14ac:dyDescent="0.3">
      <c r="R723" s="93"/>
    </row>
    <row r="724" spans="18:18" ht="15.75" customHeight="1" x14ac:dyDescent="0.3">
      <c r="R724" s="93"/>
    </row>
    <row r="725" spans="18:18" ht="15.75" customHeight="1" x14ac:dyDescent="0.3">
      <c r="R725" s="93"/>
    </row>
    <row r="726" spans="18:18" ht="15.75" customHeight="1" x14ac:dyDescent="0.3">
      <c r="R726" s="93"/>
    </row>
    <row r="727" spans="18:18" ht="15.75" customHeight="1" x14ac:dyDescent="0.3">
      <c r="R727" s="93"/>
    </row>
    <row r="728" spans="18:18" ht="15.75" customHeight="1" x14ac:dyDescent="0.3">
      <c r="R728" s="93"/>
    </row>
    <row r="729" spans="18:18" ht="15.75" customHeight="1" x14ac:dyDescent="0.3">
      <c r="R729" s="93"/>
    </row>
    <row r="730" spans="18:18" ht="15.75" customHeight="1" x14ac:dyDescent="0.3">
      <c r="R730" s="93"/>
    </row>
    <row r="731" spans="18:18" ht="15.75" customHeight="1" x14ac:dyDescent="0.3">
      <c r="R731" s="93"/>
    </row>
    <row r="732" spans="18:18" ht="15.75" customHeight="1" x14ac:dyDescent="0.3">
      <c r="R732" s="93"/>
    </row>
    <row r="733" spans="18:18" ht="15.75" customHeight="1" x14ac:dyDescent="0.3">
      <c r="R733" s="93"/>
    </row>
    <row r="734" spans="18:18" ht="15.75" customHeight="1" x14ac:dyDescent="0.3">
      <c r="R734" s="93"/>
    </row>
    <row r="735" spans="18:18" ht="15.75" customHeight="1" x14ac:dyDescent="0.3">
      <c r="R735" s="93"/>
    </row>
    <row r="736" spans="18:18" ht="15.75" customHeight="1" x14ac:dyDescent="0.3">
      <c r="R736" s="93"/>
    </row>
    <row r="737" spans="18:18" ht="15.75" customHeight="1" x14ac:dyDescent="0.3">
      <c r="R737" s="93"/>
    </row>
    <row r="738" spans="18:18" ht="15.75" customHeight="1" x14ac:dyDescent="0.3">
      <c r="R738" s="93"/>
    </row>
    <row r="739" spans="18:18" ht="15.75" customHeight="1" x14ac:dyDescent="0.3">
      <c r="R739" s="93"/>
    </row>
    <row r="740" spans="18:18" ht="15.75" customHeight="1" x14ac:dyDescent="0.3">
      <c r="R740" s="93"/>
    </row>
    <row r="741" spans="18:18" ht="15.75" customHeight="1" x14ac:dyDescent="0.3">
      <c r="R741" s="93"/>
    </row>
    <row r="742" spans="18:18" ht="15.75" customHeight="1" x14ac:dyDescent="0.3">
      <c r="R742" s="93"/>
    </row>
    <row r="743" spans="18:18" ht="15.75" customHeight="1" x14ac:dyDescent="0.3">
      <c r="R743" s="93"/>
    </row>
    <row r="744" spans="18:18" ht="15.75" customHeight="1" x14ac:dyDescent="0.3">
      <c r="R744" s="93"/>
    </row>
    <row r="745" spans="18:18" ht="15.75" customHeight="1" x14ac:dyDescent="0.3">
      <c r="R745" s="93"/>
    </row>
    <row r="746" spans="18:18" ht="15.75" customHeight="1" x14ac:dyDescent="0.3">
      <c r="R746" s="93"/>
    </row>
    <row r="747" spans="18:18" ht="15.75" customHeight="1" x14ac:dyDescent="0.3">
      <c r="R747" s="93"/>
    </row>
    <row r="748" spans="18:18" ht="15.75" customHeight="1" x14ac:dyDescent="0.3">
      <c r="R748" s="93"/>
    </row>
    <row r="749" spans="18:18" ht="15.75" customHeight="1" x14ac:dyDescent="0.3">
      <c r="R749" s="93"/>
    </row>
    <row r="750" spans="18:18" ht="15.75" customHeight="1" x14ac:dyDescent="0.3">
      <c r="R750" s="93"/>
    </row>
    <row r="751" spans="18:18" ht="15.75" customHeight="1" x14ac:dyDescent="0.3">
      <c r="R751" s="93"/>
    </row>
    <row r="752" spans="18:18" ht="15.75" customHeight="1" x14ac:dyDescent="0.3">
      <c r="R752" s="93"/>
    </row>
    <row r="753" spans="18:18" ht="15.75" customHeight="1" x14ac:dyDescent="0.3">
      <c r="R753" s="93"/>
    </row>
    <row r="754" spans="18:18" ht="15.75" customHeight="1" x14ac:dyDescent="0.3">
      <c r="R754" s="93"/>
    </row>
    <row r="755" spans="18:18" ht="15.75" customHeight="1" x14ac:dyDescent="0.3">
      <c r="R755" s="93"/>
    </row>
    <row r="756" spans="18:18" ht="15.75" customHeight="1" x14ac:dyDescent="0.3">
      <c r="R756" s="93"/>
    </row>
    <row r="757" spans="18:18" ht="15.75" customHeight="1" x14ac:dyDescent="0.3">
      <c r="R757" s="93"/>
    </row>
    <row r="758" spans="18:18" ht="15.75" customHeight="1" x14ac:dyDescent="0.3">
      <c r="R758" s="93"/>
    </row>
    <row r="759" spans="18:18" ht="15.75" customHeight="1" x14ac:dyDescent="0.3">
      <c r="R759" s="93"/>
    </row>
    <row r="760" spans="18:18" ht="15.75" customHeight="1" x14ac:dyDescent="0.3">
      <c r="R760" s="93"/>
    </row>
    <row r="761" spans="18:18" ht="15.75" customHeight="1" x14ac:dyDescent="0.3">
      <c r="R761" s="93"/>
    </row>
    <row r="762" spans="18:18" ht="15.75" customHeight="1" x14ac:dyDescent="0.3">
      <c r="R762" s="93"/>
    </row>
    <row r="763" spans="18:18" ht="15.75" customHeight="1" x14ac:dyDescent="0.3">
      <c r="R763" s="93"/>
    </row>
    <row r="764" spans="18:18" ht="15.75" customHeight="1" x14ac:dyDescent="0.3">
      <c r="R764" s="93"/>
    </row>
    <row r="765" spans="18:18" ht="15.75" customHeight="1" x14ac:dyDescent="0.3">
      <c r="R765" s="93"/>
    </row>
    <row r="766" spans="18:18" ht="15.75" customHeight="1" x14ac:dyDescent="0.3">
      <c r="R766" s="93"/>
    </row>
    <row r="767" spans="18:18" ht="15.75" customHeight="1" x14ac:dyDescent="0.3">
      <c r="R767" s="93"/>
    </row>
    <row r="768" spans="18:18" ht="15.75" customHeight="1" x14ac:dyDescent="0.3">
      <c r="R768" s="93"/>
    </row>
    <row r="769" spans="18:18" ht="15.75" customHeight="1" x14ac:dyDescent="0.3">
      <c r="R769" s="93"/>
    </row>
    <row r="770" spans="18:18" ht="15.75" customHeight="1" x14ac:dyDescent="0.3">
      <c r="R770" s="93"/>
    </row>
    <row r="771" spans="18:18" ht="15.75" customHeight="1" x14ac:dyDescent="0.3">
      <c r="R771" s="93"/>
    </row>
    <row r="772" spans="18:18" ht="15.75" customHeight="1" x14ac:dyDescent="0.3">
      <c r="R772" s="93"/>
    </row>
    <row r="773" spans="18:18" ht="15.75" customHeight="1" x14ac:dyDescent="0.3">
      <c r="R773" s="93"/>
    </row>
    <row r="774" spans="18:18" ht="15.75" customHeight="1" x14ac:dyDescent="0.3">
      <c r="R774" s="93"/>
    </row>
    <row r="775" spans="18:18" ht="15.75" customHeight="1" x14ac:dyDescent="0.3">
      <c r="R775" s="93"/>
    </row>
    <row r="776" spans="18:18" ht="15.75" customHeight="1" x14ac:dyDescent="0.3">
      <c r="R776" s="93"/>
    </row>
    <row r="777" spans="18:18" ht="15.75" customHeight="1" x14ac:dyDescent="0.3">
      <c r="R777" s="93"/>
    </row>
    <row r="778" spans="18:18" ht="15.75" customHeight="1" x14ac:dyDescent="0.3">
      <c r="R778" s="93"/>
    </row>
    <row r="779" spans="18:18" ht="15.75" customHeight="1" x14ac:dyDescent="0.3">
      <c r="R779" s="93"/>
    </row>
    <row r="780" spans="18:18" ht="15.75" customHeight="1" x14ac:dyDescent="0.3">
      <c r="R780" s="93"/>
    </row>
    <row r="781" spans="18:18" ht="15.75" customHeight="1" x14ac:dyDescent="0.3">
      <c r="R781" s="93"/>
    </row>
    <row r="782" spans="18:18" ht="15.75" customHeight="1" x14ac:dyDescent="0.3">
      <c r="R782" s="93"/>
    </row>
    <row r="783" spans="18:18" ht="15.75" customHeight="1" x14ac:dyDescent="0.3">
      <c r="R783" s="93"/>
    </row>
    <row r="784" spans="18:18" ht="15.75" customHeight="1" x14ac:dyDescent="0.3">
      <c r="R784" s="93"/>
    </row>
    <row r="785" spans="18:18" ht="15.75" customHeight="1" x14ac:dyDescent="0.3">
      <c r="R785" s="93"/>
    </row>
    <row r="786" spans="18:18" ht="15.75" customHeight="1" x14ac:dyDescent="0.3">
      <c r="R786" s="93"/>
    </row>
    <row r="787" spans="18:18" ht="15.75" customHeight="1" x14ac:dyDescent="0.3">
      <c r="R787" s="93"/>
    </row>
    <row r="788" spans="18:18" ht="15.75" customHeight="1" x14ac:dyDescent="0.3">
      <c r="R788" s="93"/>
    </row>
    <row r="789" spans="18:18" ht="15.75" customHeight="1" x14ac:dyDescent="0.3">
      <c r="R789" s="93"/>
    </row>
    <row r="790" spans="18:18" ht="15.75" customHeight="1" x14ac:dyDescent="0.3">
      <c r="R790" s="93"/>
    </row>
    <row r="791" spans="18:18" ht="15.75" customHeight="1" x14ac:dyDescent="0.3">
      <c r="R791" s="93"/>
    </row>
    <row r="792" spans="18:18" ht="15.75" customHeight="1" x14ac:dyDescent="0.3">
      <c r="R792" s="93"/>
    </row>
    <row r="793" spans="18:18" ht="15.75" customHeight="1" x14ac:dyDescent="0.3">
      <c r="R793" s="93"/>
    </row>
    <row r="794" spans="18:18" ht="15.75" customHeight="1" x14ac:dyDescent="0.3">
      <c r="R794" s="93"/>
    </row>
    <row r="795" spans="18:18" ht="15.75" customHeight="1" x14ac:dyDescent="0.3">
      <c r="R795" s="93"/>
    </row>
    <row r="796" spans="18:18" ht="15.75" customHeight="1" x14ac:dyDescent="0.3">
      <c r="R796" s="93"/>
    </row>
    <row r="797" spans="18:18" ht="15.75" customHeight="1" x14ac:dyDescent="0.3">
      <c r="R797" s="93"/>
    </row>
    <row r="798" spans="18:18" ht="15.75" customHeight="1" x14ac:dyDescent="0.3">
      <c r="R798" s="93"/>
    </row>
    <row r="799" spans="18:18" ht="15.75" customHeight="1" x14ac:dyDescent="0.3">
      <c r="R799" s="93"/>
    </row>
    <row r="800" spans="18:18" ht="15.75" customHeight="1" x14ac:dyDescent="0.3">
      <c r="R800" s="93"/>
    </row>
    <row r="801" spans="18:18" ht="15.75" customHeight="1" x14ac:dyDescent="0.3">
      <c r="R801" s="93"/>
    </row>
    <row r="802" spans="18:18" ht="15.75" customHeight="1" x14ac:dyDescent="0.3">
      <c r="R802" s="93"/>
    </row>
    <row r="803" spans="18:18" ht="15.75" customHeight="1" x14ac:dyDescent="0.3">
      <c r="R803" s="93"/>
    </row>
    <row r="804" spans="18:18" ht="15.75" customHeight="1" x14ac:dyDescent="0.3">
      <c r="R804" s="93"/>
    </row>
    <row r="805" spans="18:18" ht="15.75" customHeight="1" x14ac:dyDescent="0.3">
      <c r="R805" s="93"/>
    </row>
    <row r="806" spans="18:18" ht="15.75" customHeight="1" x14ac:dyDescent="0.3">
      <c r="R806" s="93"/>
    </row>
    <row r="807" spans="18:18" ht="15.75" customHeight="1" x14ac:dyDescent="0.3">
      <c r="R807" s="93"/>
    </row>
    <row r="808" spans="18:18" ht="15.75" customHeight="1" x14ac:dyDescent="0.3">
      <c r="R808" s="93"/>
    </row>
    <row r="809" spans="18:18" ht="15.75" customHeight="1" x14ac:dyDescent="0.3">
      <c r="R809" s="93"/>
    </row>
    <row r="810" spans="18:18" ht="15.75" customHeight="1" x14ac:dyDescent="0.3">
      <c r="R810" s="93"/>
    </row>
    <row r="811" spans="18:18" ht="15.75" customHeight="1" x14ac:dyDescent="0.3">
      <c r="R811" s="93"/>
    </row>
    <row r="812" spans="18:18" ht="15.75" customHeight="1" x14ac:dyDescent="0.3">
      <c r="R812" s="93"/>
    </row>
    <row r="813" spans="18:18" ht="15.75" customHeight="1" x14ac:dyDescent="0.3">
      <c r="R813" s="93"/>
    </row>
    <row r="814" spans="18:18" ht="15.75" customHeight="1" x14ac:dyDescent="0.3">
      <c r="R814" s="93"/>
    </row>
    <row r="815" spans="18:18" ht="15.75" customHeight="1" x14ac:dyDescent="0.3">
      <c r="R815" s="93"/>
    </row>
    <row r="816" spans="18:18" ht="15.75" customHeight="1" x14ac:dyDescent="0.3">
      <c r="R816" s="93"/>
    </row>
    <row r="817" spans="18:18" ht="15.75" customHeight="1" x14ac:dyDescent="0.3">
      <c r="R817" s="93"/>
    </row>
    <row r="818" spans="18:18" ht="15.75" customHeight="1" x14ac:dyDescent="0.3">
      <c r="R818" s="93"/>
    </row>
    <row r="819" spans="18:18" ht="15.75" customHeight="1" x14ac:dyDescent="0.3">
      <c r="R819" s="93"/>
    </row>
    <row r="820" spans="18:18" ht="15.75" customHeight="1" x14ac:dyDescent="0.3">
      <c r="R820" s="93"/>
    </row>
    <row r="821" spans="18:18" ht="15.75" customHeight="1" x14ac:dyDescent="0.3">
      <c r="R821" s="93"/>
    </row>
    <row r="822" spans="18:18" ht="15.75" customHeight="1" x14ac:dyDescent="0.3">
      <c r="R822" s="93"/>
    </row>
    <row r="823" spans="18:18" ht="15.75" customHeight="1" x14ac:dyDescent="0.3">
      <c r="R823" s="93"/>
    </row>
    <row r="824" spans="18:18" ht="15.75" customHeight="1" x14ac:dyDescent="0.3">
      <c r="R824" s="93"/>
    </row>
    <row r="825" spans="18:18" ht="15.75" customHeight="1" x14ac:dyDescent="0.3">
      <c r="R825" s="93"/>
    </row>
    <row r="826" spans="18:18" ht="15.75" customHeight="1" x14ac:dyDescent="0.3">
      <c r="R826" s="93"/>
    </row>
    <row r="827" spans="18:18" ht="15.75" customHeight="1" x14ac:dyDescent="0.3">
      <c r="R827" s="93"/>
    </row>
    <row r="828" spans="18:18" ht="15.75" customHeight="1" x14ac:dyDescent="0.3">
      <c r="R828" s="93"/>
    </row>
    <row r="829" spans="18:18" ht="15.75" customHeight="1" x14ac:dyDescent="0.3">
      <c r="R829" s="93"/>
    </row>
    <row r="830" spans="18:18" ht="15.75" customHeight="1" x14ac:dyDescent="0.3">
      <c r="R830" s="93"/>
    </row>
    <row r="831" spans="18:18" ht="15.75" customHeight="1" x14ac:dyDescent="0.3">
      <c r="R831" s="93"/>
    </row>
    <row r="832" spans="18:18" ht="15.75" customHeight="1" x14ac:dyDescent="0.3">
      <c r="R832" s="93"/>
    </row>
    <row r="833" spans="18:18" ht="15.75" customHeight="1" x14ac:dyDescent="0.3">
      <c r="R833" s="93"/>
    </row>
    <row r="834" spans="18:18" ht="15.75" customHeight="1" x14ac:dyDescent="0.3">
      <c r="R834" s="93"/>
    </row>
    <row r="835" spans="18:18" ht="15.75" customHeight="1" x14ac:dyDescent="0.3">
      <c r="R835" s="93"/>
    </row>
    <row r="836" spans="18:18" ht="15.75" customHeight="1" x14ac:dyDescent="0.3">
      <c r="R836" s="93"/>
    </row>
    <row r="837" spans="18:18" ht="15.75" customHeight="1" x14ac:dyDescent="0.3">
      <c r="R837" s="93"/>
    </row>
    <row r="838" spans="18:18" ht="15.75" customHeight="1" x14ac:dyDescent="0.3">
      <c r="R838" s="93"/>
    </row>
    <row r="839" spans="18:18" ht="15.75" customHeight="1" x14ac:dyDescent="0.3">
      <c r="R839" s="93"/>
    </row>
    <row r="840" spans="18:18" ht="15.75" customHeight="1" x14ac:dyDescent="0.3">
      <c r="R840" s="93"/>
    </row>
    <row r="841" spans="18:18" ht="15.75" customHeight="1" x14ac:dyDescent="0.3">
      <c r="R841" s="93"/>
    </row>
    <row r="842" spans="18:18" ht="15.75" customHeight="1" x14ac:dyDescent="0.3">
      <c r="R842" s="93"/>
    </row>
    <row r="843" spans="18:18" ht="15.75" customHeight="1" x14ac:dyDescent="0.3">
      <c r="R843" s="93"/>
    </row>
    <row r="844" spans="18:18" ht="15.75" customHeight="1" x14ac:dyDescent="0.3">
      <c r="R844" s="93"/>
    </row>
    <row r="845" spans="18:18" ht="15.75" customHeight="1" x14ac:dyDescent="0.3">
      <c r="R845" s="93"/>
    </row>
    <row r="846" spans="18:18" ht="15.75" customHeight="1" x14ac:dyDescent="0.3">
      <c r="R846" s="93"/>
    </row>
    <row r="847" spans="18:18" ht="15.75" customHeight="1" x14ac:dyDescent="0.3">
      <c r="R847" s="93"/>
    </row>
    <row r="848" spans="18:18" ht="15.75" customHeight="1" x14ac:dyDescent="0.3">
      <c r="R848" s="93"/>
    </row>
    <row r="849" spans="18:18" ht="15.75" customHeight="1" x14ac:dyDescent="0.3">
      <c r="R849" s="93"/>
    </row>
    <row r="850" spans="18:18" ht="15.75" customHeight="1" x14ac:dyDescent="0.3">
      <c r="R850" s="93"/>
    </row>
    <row r="851" spans="18:18" ht="15.75" customHeight="1" x14ac:dyDescent="0.3">
      <c r="R851" s="93"/>
    </row>
    <row r="852" spans="18:18" ht="15.75" customHeight="1" x14ac:dyDescent="0.3">
      <c r="R852" s="93"/>
    </row>
    <row r="853" spans="18:18" ht="15.75" customHeight="1" x14ac:dyDescent="0.3">
      <c r="R853" s="93"/>
    </row>
    <row r="854" spans="18:18" ht="15.75" customHeight="1" x14ac:dyDescent="0.3">
      <c r="R854" s="93"/>
    </row>
    <row r="855" spans="18:18" ht="15.75" customHeight="1" x14ac:dyDescent="0.3">
      <c r="R855" s="93"/>
    </row>
    <row r="856" spans="18:18" ht="15.75" customHeight="1" x14ac:dyDescent="0.3">
      <c r="R856" s="93"/>
    </row>
    <row r="857" spans="18:18" ht="15.75" customHeight="1" x14ac:dyDescent="0.3">
      <c r="R857" s="93"/>
    </row>
    <row r="858" spans="18:18" ht="15.75" customHeight="1" x14ac:dyDescent="0.3">
      <c r="R858" s="93"/>
    </row>
    <row r="859" spans="18:18" ht="15.75" customHeight="1" x14ac:dyDescent="0.3">
      <c r="R859" s="93"/>
    </row>
    <row r="860" spans="18:18" ht="15.75" customHeight="1" x14ac:dyDescent="0.3">
      <c r="R860" s="93"/>
    </row>
    <row r="861" spans="18:18" ht="15.75" customHeight="1" x14ac:dyDescent="0.3">
      <c r="R861" s="93"/>
    </row>
    <row r="862" spans="18:18" ht="15.75" customHeight="1" x14ac:dyDescent="0.3">
      <c r="R862" s="93"/>
    </row>
    <row r="863" spans="18:18" ht="15.75" customHeight="1" x14ac:dyDescent="0.3">
      <c r="R863" s="93"/>
    </row>
    <row r="864" spans="18:18" ht="15.75" customHeight="1" x14ac:dyDescent="0.3">
      <c r="R864" s="93"/>
    </row>
    <row r="865" spans="18:18" ht="15.75" customHeight="1" x14ac:dyDescent="0.3">
      <c r="R865" s="93"/>
    </row>
    <row r="866" spans="18:18" ht="15.75" customHeight="1" x14ac:dyDescent="0.3">
      <c r="R866" s="93"/>
    </row>
    <row r="867" spans="18:18" ht="15.75" customHeight="1" x14ac:dyDescent="0.3">
      <c r="R867" s="93"/>
    </row>
    <row r="868" spans="18:18" ht="15.75" customHeight="1" x14ac:dyDescent="0.3">
      <c r="R868" s="93"/>
    </row>
    <row r="869" spans="18:18" ht="15.75" customHeight="1" x14ac:dyDescent="0.3">
      <c r="R869" s="93"/>
    </row>
    <row r="870" spans="18:18" ht="15.75" customHeight="1" x14ac:dyDescent="0.3">
      <c r="R870" s="93"/>
    </row>
    <row r="871" spans="18:18" ht="15.75" customHeight="1" x14ac:dyDescent="0.3">
      <c r="R871" s="93"/>
    </row>
    <row r="872" spans="18:18" ht="15.75" customHeight="1" x14ac:dyDescent="0.3">
      <c r="R872" s="93"/>
    </row>
    <row r="873" spans="18:18" ht="15.75" customHeight="1" x14ac:dyDescent="0.3">
      <c r="R873" s="93"/>
    </row>
    <row r="874" spans="18:18" ht="15.75" customHeight="1" x14ac:dyDescent="0.3">
      <c r="R874" s="93"/>
    </row>
    <row r="875" spans="18:18" ht="15.75" customHeight="1" x14ac:dyDescent="0.3">
      <c r="R875" s="93"/>
    </row>
    <row r="876" spans="18:18" ht="15.75" customHeight="1" x14ac:dyDescent="0.3">
      <c r="R876" s="93"/>
    </row>
    <row r="877" spans="18:18" ht="15.75" customHeight="1" x14ac:dyDescent="0.3">
      <c r="R877" s="93"/>
    </row>
    <row r="878" spans="18:18" ht="15.75" customHeight="1" x14ac:dyDescent="0.3">
      <c r="R878" s="93"/>
    </row>
    <row r="879" spans="18:18" ht="15.75" customHeight="1" x14ac:dyDescent="0.3">
      <c r="R879" s="93"/>
    </row>
    <row r="880" spans="18:18" ht="15.75" customHeight="1" x14ac:dyDescent="0.3">
      <c r="R880" s="93"/>
    </row>
    <row r="881" spans="18:18" ht="15.75" customHeight="1" x14ac:dyDescent="0.3">
      <c r="R881" s="93"/>
    </row>
    <row r="882" spans="18:18" ht="15.75" customHeight="1" x14ac:dyDescent="0.3">
      <c r="R882" s="93"/>
    </row>
    <row r="883" spans="18:18" ht="15.75" customHeight="1" x14ac:dyDescent="0.3">
      <c r="R883" s="93"/>
    </row>
    <row r="884" spans="18:18" ht="15.75" customHeight="1" x14ac:dyDescent="0.3">
      <c r="R884" s="93"/>
    </row>
    <row r="885" spans="18:18" ht="15.75" customHeight="1" x14ac:dyDescent="0.3">
      <c r="R885" s="93"/>
    </row>
    <row r="886" spans="18:18" ht="15.75" customHeight="1" x14ac:dyDescent="0.3">
      <c r="R886" s="93"/>
    </row>
    <row r="887" spans="18:18" ht="15.75" customHeight="1" x14ac:dyDescent="0.3">
      <c r="R887" s="93"/>
    </row>
    <row r="888" spans="18:18" ht="15.75" customHeight="1" x14ac:dyDescent="0.3">
      <c r="R888" s="93"/>
    </row>
    <row r="889" spans="18:18" ht="15.75" customHeight="1" x14ac:dyDescent="0.3">
      <c r="R889" s="93"/>
    </row>
    <row r="890" spans="18:18" ht="15.75" customHeight="1" x14ac:dyDescent="0.3">
      <c r="R890" s="93"/>
    </row>
    <row r="891" spans="18:18" ht="15.75" customHeight="1" x14ac:dyDescent="0.3">
      <c r="R891" s="93"/>
    </row>
    <row r="892" spans="18:18" ht="15.75" customHeight="1" x14ac:dyDescent="0.3">
      <c r="R892" s="93"/>
    </row>
    <row r="893" spans="18:18" ht="15.75" customHeight="1" x14ac:dyDescent="0.3">
      <c r="R893" s="93"/>
    </row>
    <row r="894" spans="18:18" ht="15.75" customHeight="1" x14ac:dyDescent="0.3">
      <c r="R894" s="93"/>
    </row>
    <row r="895" spans="18:18" ht="15.75" customHeight="1" x14ac:dyDescent="0.3">
      <c r="R895" s="93"/>
    </row>
    <row r="896" spans="18:18" ht="15.75" customHeight="1" x14ac:dyDescent="0.3">
      <c r="R896" s="93"/>
    </row>
    <row r="897" spans="18:18" ht="15.75" customHeight="1" x14ac:dyDescent="0.3">
      <c r="R897" s="93"/>
    </row>
    <row r="898" spans="18:18" ht="15.75" customHeight="1" x14ac:dyDescent="0.3">
      <c r="R898" s="93"/>
    </row>
    <row r="899" spans="18:18" ht="15.75" customHeight="1" x14ac:dyDescent="0.3">
      <c r="R899" s="93"/>
    </row>
    <row r="900" spans="18:18" ht="15.75" customHeight="1" x14ac:dyDescent="0.3">
      <c r="R900" s="93"/>
    </row>
    <row r="901" spans="18:18" ht="15.75" customHeight="1" x14ac:dyDescent="0.3">
      <c r="R901" s="93"/>
    </row>
    <row r="902" spans="18:18" ht="15.75" customHeight="1" x14ac:dyDescent="0.3">
      <c r="R902" s="93"/>
    </row>
    <row r="903" spans="18:18" ht="15.75" customHeight="1" x14ac:dyDescent="0.3">
      <c r="R903" s="93"/>
    </row>
    <row r="904" spans="18:18" ht="15.75" customHeight="1" x14ac:dyDescent="0.3">
      <c r="R904" s="93"/>
    </row>
    <row r="905" spans="18:18" ht="15.75" customHeight="1" x14ac:dyDescent="0.3">
      <c r="R905" s="93"/>
    </row>
    <row r="906" spans="18:18" ht="15.75" customHeight="1" x14ac:dyDescent="0.3">
      <c r="R906" s="93"/>
    </row>
    <row r="907" spans="18:18" ht="15.75" customHeight="1" x14ac:dyDescent="0.3">
      <c r="R907" s="93"/>
    </row>
    <row r="908" spans="18:18" ht="15.75" customHeight="1" x14ac:dyDescent="0.3">
      <c r="R908" s="93"/>
    </row>
    <row r="909" spans="18:18" ht="15.75" customHeight="1" x14ac:dyDescent="0.3">
      <c r="R909" s="93"/>
    </row>
    <row r="910" spans="18:18" ht="15.75" customHeight="1" x14ac:dyDescent="0.3">
      <c r="R910" s="93"/>
    </row>
    <row r="911" spans="18:18" ht="15.75" customHeight="1" x14ac:dyDescent="0.3">
      <c r="R911" s="93"/>
    </row>
    <row r="912" spans="18:18" ht="15.75" customHeight="1" x14ac:dyDescent="0.3">
      <c r="R912" s="93"/>
    </row>
    <row r="913" spans="18:18" ht="15.75" customHeight="1" x14ac:dyDescent="0.3">
      <c r="R913" s="93"/>
    </row>
    <row r="914" spans="18:18" ht="15.75" customHeight="1" x14ac:dyDescent="0.3">
      <c r="R914" s="93"/>
    </row>
    <row r="915" spans="18:18" ht="15.75" customHeight="1" x14ac:dyDescent="0.3">
      <c r="R915" s="93"/>
    </row>
    <row r="916" spans="18:18" ht="15.75" customHeight="1" x14ac:dyDescent="0.3">
      <c r="R916" s="93"/>
    </row>
    <row r="917" spans="18:18" ht="15.75" customHeight="1" x14ac:dyDescent="0.3">
      <c r="R917" s="93"/>
    </row>
    <row r="918" spans="18:18" ht="15.75" customHeight="1" x14ac:dyDescent="0.3">
      <c r="R918" s="93"/>
    </row>
    <row r="919" spans="18:18" ht="15.75" customHeight="1" x14ac:dyDescent="0.3">
      <c r="R919" s="93"/>
    </row>
    <row r="920" spans="18:18" ht="15.75" customHeight="1" x14ac:dyDescent="0.3">
      <c r="R920" s="93"/>
    </row>
    <row r="921" spans="18:18" ht="15.75" customHeight="1" x14ac:dyDescent="0.3">
      <c r="R921" s="93"/>
    </row>
    <row r="922" spans="18:18" ht="15.75" customHeight="1" x14ac:dyDescent="0.3">
      <c r="R922" s="93"/>
    </row>
    <row r="923" spans="18:18" ht="15.75" customHeight="1" x14ac:dyDescent="0.3">
      <c r="R923" s="93"/>
    </row>
    <row r="924" spans="18:18" ht="15.75" customHeight="1" x14ac:dyDescent="0.3">
      <c r="R924" s="93"/>
    </row>
    <row r="925" spans="18:18" ht="15.75" customHeight="1" x14ac:dyDescent="0.3">
      <c r="R925" s="93"/>
    </row>
    <row r="926" spans="18:18" ht="15.75" customHeight="1" x14ac:dyDescent="0.3">
      <c r="R926" s="93"/>
    </row>
    <row r="927" spans="18:18" ht="15.75" customHeight="1" x14ac:dyDescent="0.3">
      <c r="R927" s="93"/>
    </row>
    <row r="928" spans="18:18" ht="15.75" customHeight="1" x14ac:dyDescent="0.3">
      <c r="R928" s="93"/>
    </row>
    <row r="929" spans="18:18" ht="15.75" customHeight="1" x14ac:dyDescent="0.3">
      <c r="R929" s="93"/>
    </row>
    <row r="930" spans="18:18" ht="15.75" customHeight="1" x14ac:dyDescent="0.3">
      <c r="R930" s="93"/>
    </row>
    <row r="931" spans="18:18" ht="15.75" customHeight="1" x14ac:dyDescent="0.3">
      <c r="R931" s="93"/>
    </row>
    <row r="932" spans="18:18" ht="15.75" customHeight="1" x14ac:dyDescent="0.3">
      <c r="R932" s="93"/>
    </row>
    <row r="933" spans="18:18" ht="15.75" customHeight="1" x14ac:dyDescent="0.3">
      <c r="R933" s="93"/>
    </row>
    <row r="934" spans="18:18" ht="15.75" customHeight="1" x14ac:dyDescent="0.3">
      <c r="R934" s="93"/>
    </row>
    <row r="935" spans="18:18" ht="15.75" customHeight="1" x14ac:dyDescent="0.3">
      <c r="R935" s="93"/>
    </row>
    <row r="936" spans="18:18" ht="15.75" customHeight="1" x14ac:dyDescent="0.3">
      <c r="R936" s="93"/>
    </row>
    <row r="937" spans="18:18" ht="15.75" customHeight="1" x14ac:dyDescent="0.3">
      <c r="R937" s="93"/>
    </row>
    <row r="938" spans="18:18" ht="15.75" customHeight="1" x14ac:dyDescent="0.3">
      <c r="R938" s="93"/>
    </row>
    <row r="939" spans="18:18" ht="15.75" customHeight="1" x14ac:dyDescent="0.3">
      <c r="R939" s="93"/>
    </row>
    <row r="940" spans="18:18" ht="15.75" customHeight="1" x14ac:dyDescent="0.3">
      <c r="R940" s="93"/>
    </row>
    <row r="941" spans="18:18" ht="15.75" customHeight="1" x14ac:dyDescent="0.3">
      <c r="R941" s="93"/>
    </row>
    <row r="942" spans="18:18" ht="15.75" customHeight="1" x14ac:dyDescent="0.3">
      <c r="R942" s="93"/>
    </row>
    <row r="943" spans="18:18" ht="15.75" customHeight="1" x14ac:dyDescent="0.3">
      <c r="R943" s="93"/>
    </row>
    <row r="944" spans="18:18" ht="15.75" customHeight="1" x14ac:dyDescent="0.3">
      <c r="R944" s="93"/>
    </row>
    <row r="945" spans="18:18" ht="15.75" customHeight="1" x14ac:dyDescent="0.3">
      <c r="R945" s="93"/>
    </row>
    <row r="946" spans="18:18" ht="15.75" customHeight="1" x14ac:dyDescent="0.3">
      <c r="R946" s="93"/>
    </row>
    <row r="947" spans="18:18" ht="15.75" customHeight="1" x14ac:dyDescent="0.3">
      <c r="R947" s="93"/>
    </row>
    <row r="948" spans="18:18" ht="15.75" customHeight="1" x14ac:dyDescent="0.3">
      <c r="R948" s="93"/>
    </row>
    <row r="949" spans="18:18" ht="15.75" customHeight="1" x14ac:dyDescent="0.3">
      <c r="R949" s="93"/>
    </row>
    <row r="950" spans="18:18" ht="15.75" customHeight="1" x14ac:dyDescent="0.3">
      <c r="R950" s="93"/>
    </row>
    <row r="951" spans="18:18" ht="15.75" customHeight="1" x14ac:dyDescent="0.3">
      <c r="R951" s="93"/>
    </row>
    <row r="952" spans="18:18" ht="15.75" customHeight="1" x14ac:dyDescent="0.3">
      <c r="R952" s="93"/>
    </row>
    <row r="953" spans="18:18" ht="15.75" customHeight="1" x14ac:dyDescent="0.3">
      <c r="R953" s="93"/>
    </row>
    <row r="954" spans="18:18" ht="15.75" customHeight="1" x14ac:dyDescent="0.3">
      <c r="R954" s="93"/>
    </row>
    <row r="955" spans="18:18" ht="15.75" customHeight="1" x14ac:dyDescent="0.3">
      <c r="R955" s="93"/>
    </row>
    <row r="956" spans="18:18" ht="15.75" customHeight="1" x14ac:dyDescent="0.3">
      <c r="R956" s="93"/>
    </row>
    <row r="957" spans="18:18" ht="15.75" customHeight="1" x14ac:dyDescent="0.3">
      <c r="R957" s="93"/>
    </row>
    <row r="958" spans="18:18" ht="15.75" customHeight="1" x14ac:dyDescent="0.3">
      <c r="R958" s="93"/>
    </row>
    <row r="959" spans="18:18" ht="15.75" customHeight="1" x14ac:dyDescent="0.3">
      <c r="R959" s="93"/>
    </row>
    <row r="960" spans="18:18" ht="15.75" customHeight="1" x14ac:dyDescent="0.3">
      <c r="R960" s="93"/>
    </row>
    <row r="961" spans="18:18" ht="15.75" customHeight="1" x14ac:dyDescent="0.3">
      <c r="R961" s="93"/>
    </row>
    <row r="962" spans="18:18" ht="15.75" customHeight="1" x14ac:dyDescent="0.3">
      <c r="R962" s="93"/>
    </row>
    <row r="963" spans="18:18" ht="15.75" customHeight="1" x14ac:dyDescent="0.3">
      <c r="R963" s="93"/>
    </row>
    <row r="964" spans="18:18" ht="15.75" customHeight="1" x14ac:dyDescent="0.3">
      <c r="R964" s="93"/>
    </row>
    <row r="965" spans="18:18" ht="15.75" customHeight="1" x14ac:dyDescent="0.3">
      <c r="R965" s="93"/>
    </row>
    <row r="966" spans="18:18" ht="15.75" customHeight="1" x14ac:dyDescent="0.3">
      <c r="R966" s="93"/>
    </row>
    <row r="967" spans="18:18" ht="15.75" customHeight="1" x14ac:dyDescent="0.3">
      <c r="R967" s="93"/>
    </row>
    <row r="968" spans="18:18" ht="15.75" customHeight="1" x14ac:dyDescent="0.3">
      <c r="R968" s="93"/>
    </row>
    <row r="969" spans="18:18" ht="15.75" customHeight="1" x14ac:dyDescent="0.3">
      <c r="R969" s="93"/>
    </row>
    <row r="970" spans="18:18" ht="15.75" customHeight="1" x14ac:dyDescent="0.3">
      <c r="R970" s="93"/>
    </row>
    <row r="971" spans="18:18" ht="15.75" customHeight="1" x14ac:dyDescent="0.3">
      <c r="R971" s="93"/>
    </row>
    <row r="972" spans="18:18" ht="15.75" customHeight="1" x14ac:dyDescent="0.3">
      <c r="R972" s="93"/>
    </row>
    <row r="973" spans="18:18" ht="15.75" customHeight="1" x14ac:dyDescent="0.3">
      <c r="R973" s="93"/>
    </row>
    <row r="974" spans="18:18" ht="15.75" customHeight="1" x14ac:dyDescent="0.3">
      <c r="R974" s="93"/>
    </row>
    <row r="975" spans="18:18" ht="15.75" customHeight="1" x14ac:dyDescent="0.3">
      <c r="R975" s="93"/>
    </row>
    <row r="976" spans="18:18" ht="15.75" customHeight="1" x14ac:dyDescent="0.3">
      <c r="R976" s="93"/>
    </row>
    <row r="977" spans="18:18" ht="15.75" customHeight="1" x14ac:dyDescent="0.3">
      <c r="R977" s="93"/>
    </row>
    <row r="978" spans="18:18" ht="15.75" customHeight="1" x14ac:dyDescent="0.3">
      <c r="R978" s="93"/>
    </row>
    <row r="979" spans="18:18" ht="15.75" customHeight="1" x14ac:dyDescent="0.3">
      <c r="R979" s="93"/>
    </row>
    <row r="980" spans="18:18" ht="15.75" customHeight="1" x14ac:dyDescent="0.3">
      <c r="R980" s="93"/>
    </row>
    <row r="981" spans="18:18" ht="15.75" customHeight="1" x14ac:dyDescent="0.3">
      <c r="R981" s="93"/>
    </row>
    <row r="982" spans="18:18" ht="15.75" customHeight="1" x14ac:dyDescent="0.3">
      <c r="R982" s="93"/>
    </row>
    <row r="983" spans="18:18" ht="15.75" customHeight="1" x14ac:dyDescent="0.3">
      <c r="R983" s="93"/>
    </row>
    <row r="984" spans="18:18" ht="15.75" customHeight="1" x14ac:dyDescent="0.3">
      <c r="R984" s="93"/>
    </row>
    <row r="985" spans="18:18" ht="15.75" customHeight="1" x14ac:dyDescent="0.3">
      <c r="R985" s="93"/>
    </row>
    <row r="986" spans="18:18" ht="15.75" customHeight="1" x14ac:dyDescent="0.3">
      <c r="R986" s="93"/>
    </row>
    <row r="987" spans="18:18" ht="15.75" customHeight="1" x14ac:dyDescent="0.3">
      <c r="R987" s="93"/>
    </row>
    <row r="988" spans="18:18" ht="15.75" customHeight="1" x14ac:dyDescent="0.3">
      <c r="R988" s="93"/>
    </row>
    <row r="989" spans="18:18" ht="15.75" customHeight="1" x14ac:dyDescent="0.3">
      <c r="R989" s="93"/>
    </row>
    <row r="990" spans="18:18" ht="15.75" customHeight="1" x14ac:dyDescent="0.3">
      <c r="R990" s="93"/>
    </row>
    <row r="991" spans="18:18" ht="15.75" customHeight="1" x14ac:dyDescent="0.3">
      <c r="R991" s="93"/>
    </row>
    <row r="992" spans="18:18" ht="15.75" customHeight="1" x14ac:dyDescent="0.3">
      <c r="R992" s="93"/>
    </row>
    <row r="993" spans="18:18" ht="15.75" customHeight="1" x14ac:dyDescent="0.3">
      <c r="R993" s="93"/>
    </row>
    <row r="994" spans="18:18" ht="15.75" customHeight="1" x14ac:dyDescent="0.3">
      <c r="R994" s="93"/>
    </row>
    <row r="995" spans="18:18" ht="15.75" customHeight="1" x14ac:dyDescent="0.3">
      <c r="R995" s="93"/>
    </row>
    <row r="996" spans="18:18" ht="15.75" customHeight="1" x14ac:dyDescent="0.3">
      <c r="R996" s="93"/>
    </row>
    <row r="997" spans="18:18" ht="15.75" customHeight="1" x14ac:dyDescent="0.3">
      <c r="R997" s="93"/>
    </row>
    <row r="998" spans="18:18" ht="15.75" customHeight="1" x14ac:dyDescent="0.3">
      <c r="R998" s="93"/>
    </row>
    <row r="999" spans="18:18" ht="15.75" customHeight="1" x14ac:dyDescent="0.3">
      <c r="R999" s="93"/>
    </row>
    <row r="1000" spans="18:18" ht="15.75" customHeight="1" x14ac:dyDescent="0.3">
      <c r="R1000" s="93"/>
    </row>
  </sheetData>
  <mergeCells count="1">
    <mergeCell ref="F1:O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Costeo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Illanes-Grupo ICA</dc:creator>
  <cp:lastModifiedBy>alexis tobar</cp:lastModifiedBy>
  <dcterms:created xsi:type="dcterms:W3CDTF">2022-05-19T19:52:26Z</dcterms:created>
  <dcterms:modified xsi:type="dcterms:W3CDTF">2026-07-22T15:02:59Z</dcterms:modified>
</cp:coreProperties>
</file>